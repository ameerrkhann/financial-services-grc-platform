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ol Matrix" sheetId="2" state="visible" r:id="rId2"/>
  </sheets>
  <definedNames>
    <definedName name="_xlnm._FilterDatabase" localSheetId="1" hidden="1">'Control Matrix'!$A$1:$L$1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4607A"/>
      <sz val="14"/>
    </font>
    <font>
      <i val="1"/>
      <color rgb="005A5A5A"/>
      <sz val="9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4607A"/>
      </patternFill>
    </fill>
    <fill>
      <patternFill patternType="solid">
        <fgColor rgb="00F5F8F9"/>
      </patternFill>
    </fill>
    <fill>
      <patternFill patternType="solid">
        <fgColor rgb="00E8F1F4"/>
      </patternFill>
    </fill>
    <fill>
      <patternFill patternType="solid">
        <fgColor rgb="00D4EDD5"/>
      </patternFill>
    </fill>
    <fill>
      <patternFill patternType="solid">
        <fgColor rgb="00FCF0C0"/>
      </patternFill>
    </fill>
    <fill>
      <patternFill patternType="solid">
        <fgColor rgb="00F8CBCB"/>
      </patternFill>
    </fill>
    <fill>
      <patternFill patternType="solid">
        <fgColor rgb="00E4E4E4"/>
      </patternFill>
    </fill>
  </fills>
  <borders count="2">
    <border>
      <left/>
      <right/>
      <top/>
      <bottom/>
      <diagonal/>
    </border>
    <border>
      <left style="thin">
        <color rgb="00C9D6DB"/>
      </left>
      <right style="thin">
        <color rgb="00C9D6DB"/>
      </right>
      <top style="thin">
        <color rgb="00C9D6DB"/>
      </top>
      <bottom style="thin">
        <color rgb="00C9D6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1" fillId="2" borderId="0" pivotButton="0" quotePrefix="0" xfId="0"/>
    <xf numFmtId="0" fontId="2" fillId="5" borderId="1" pivotButton="0" quotePrefix="0" xfId="0"/>
    <xf numFmtId="9" fontId="0" fillId="0" borderId="1" applyAlignment="1" pivotButton="0" quotePrefix="0" xfId="0">
      <alignment horizontal="center"/>
    </xf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D4EDD5"/>
        </patternFill>
      </fill>
    </dxf>
    <dxf>
      <fill>
        <patternFill patternType="solid">
          <fgColor rgb="00FCF0C0"/>
        </patternFill>
      </fill>
    </dxf>
    <dxf>
      <fill>
        <patternFill patternType="solid">
          <fgColor rgb="00F8CBCB"/>
        </patternFill>
      </fill>
    </dxf>
    <dxf>
      <fill>
        <patternFill patternType="solid">
          <fgColor rgb="00E4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Control Matrix — Summary</t>
        </is>
      </c>
    </row>
    <row r="2">
      <c r="A2" s="2" t="inlineStr">
        <is>
          <t>Counts recalculate from the Control Matrix sheet. Test results are seeded from the NIST CSF maturity score for each function and are illustrative — replace them as controls are actually tested.</t>
        </is>
      </c>
    </row>
    <row r="4" ht="28" customHeight="1">
      <c r="A4" s="3" t="inlineStr">
        <is>
          <t>NIST CSF 2.0 Function</t>
        </is>
      </c>
      <c r="B4" s="3" t="inlineStr">
        <is>
          <t>Controls</t>
        </is>
      </c>
      <c r="C4" s="3" t="inlineStr">
        <is>
          <t>Effective</t>
        </is>
      </c>
      <c r="D4" s="3" t="inlineStr">
        <is>
          <t>Partially Effective</t>
        </is>
      </c>
      <c r="E4" s="3" t="inlineStr">
        <is>
          <t>Ineffective</t>
        </is>
      </c>
      <c r="F4" s="3" t="inlineStr">
        <is>
          <t>Not Tested</t>
        </is>
      </c>
    </row>
    <row r="5">
      <c r="A5" s="4" t="inlineStr">
        <is>
          <t>Govern</t>
        </is>
      </c>
      <c r="B5" s="5">
        <f>COUNTIF('Control Matrix'!$C$2:$C$18,A5)</f>
        <v/>
      </c>
      <c r="C5" s="5">
        <f>COUNTIFS('Control Matrix'!$C$2:$C$18,$A5,'Control Matrix'!$K$2:$K$18,C$4)</f>
        <v/>
      </c>
      <c r="D5" s="5">
        <f>COUNTIFS('Control Matrix'!$C$2:$C$18,$A5,'Control Matrix'!$K$2:$K$18,D$4)</f>
        <v/>
      </c>
      <c r="E5" s="5">
        <f>COUNTIFS('Control Matrix'!$C$2:$C$18,$A5,'Control Matrix'!$K$2:$K$18,E$4)</f>
        <v/>
      </c>
      <c r="F5" s="5">
        <f>COUNTIFS('Control Matrix'!$C$2:$C$18,$A5,'Control Matrix'!$K$2:$K$18,F$4)</f>
        <v/>
      </c>
    </row>
    <row r="6">
      <c r="A6" s="4" t="inlineStr">
        <is>
          <t>Identify</t>
        </is>
      </c>
      <c r="B6" s="5">
        <f>COUNTIF('Control Matrix'!$C$2:$C$18,A6)</f>
        <v/>
      </c>
      <c r="C6" s="5">
        <f>COUNTIFS('Control Matrix'!$C$2:$C$18,$A6,'Control Matrix'!$K$2:$K$18,C$4)</f>
        <v/>
      </c>
      <c r="D6" s="5">
        <f>COUNTIFS('Control Matrix'!$C$2:$C$18,$A6,'Control Matrix'!$K$2:$K$18,D$4)</f>
        <v/>
      </c>
      <c r="E6" s="5">
        <f>COUNTIFS('Control Matrix'!$C$2:$C$18,$A6,'Control Matrix'!$K$2:$K$18,E$4)</f>
        <v/>
      </c>
      <c r="F6" s="5">
        <f>COUNTIFS('Control Matrix'!$C$2:$C$18,$A6,'Control Matrix'!$K$2:$K$18,F$4)</f>
        <v/>
      </c>
    </row>
    <row r="7">
      <c r="A7" s="4" t="inlineStr">
        <is>
          <t>Protect</t>
        </is>
      </c>
      <c r="B7" s="5">
        <f>COUNTIF('Control Matrix'!$C$2:$C$18,A7)</f>
        <v/>
      </c>
      <c r="C7" s="5">
        <f>COUNTIFS('Control Matrix'!$C$2:$C$18,$A7,'Control Matrix'!$K$2:$K$18,C$4)</f>
        <v/>
      </c>
      <c r="D7" s="5">
        <f>COUNTIFS('Control Matrix'!$C$2:$C$18,$A7,'Control Matrix'!$K$2:$K$18,D$4)</f>
        <v/>
      </c>
      <c r="E7" s="5">
        <f>COUNTIFS('Control Matrix'!$C$2:$C$18,$A7,'Control Matrix'!$K$2:$K$18,E$4)</f>
        <v/>
      </c>
      <c r="F7" s="5">
        <f>COUNTIFS('Control Matrix'!$C$2:$C$18,$A7,'Control Matrix'!$K$2:$K$18,F$4)</f>
        <v/>
      </c>
    </row>
    <row r="8">
      <c r="A8" s="4" t="inlineStr">
        <is>
          <t>Detect</t>
        </is>
      </c>
      <c r="B8" s="5">
        <f>COUNTIF('Control Matrix'!$C$2:$C$18,A8)</f>
        <v/>
      </c>
      <c r="C8" s="5">
        <f>COUNTIFS('Control Matrix'!$C$2:$C$18,$A8,'Control Matrix'!$K$2:$K$18,C$4)</f>
        <v/>
      </c>
      <c r="D8" s="5">
        <f>COUNTIFS('Control Matrix'!$C$2:$C$18,$A8,'Control Matrix'!$K$2:$K$18,D$4)</f>
        <v/>
      </c>
      <c r="E8" s="5">
        <f>COUNTIFS('Control Matrix'!$C$2:$C$18,$A8,'Control Matrix'!$K$2:$K$18,E$4)</f>
        <v/>
      </c>
      <c r="F8" s="5">
        <f>COUNTIFS('Control Matrix'!$C$2:$C$18,$A8,'Control Matrix'!$K$2:$K$18,F$4)</f>
        <v/>
      </c>
    </row>
    <row r="9">
      <c r="A9" s="4" t="inlineStr">
        <is>
          <t>Respond</t>
        </is>
      </c>
      <c r="B9" s="5">
        <f>COUNTIF('Control Matrix'!$C$2:$C$18,A9)</f>
        <v/>
      </c>
      <c r="C9" s="5">
        <f>COUNTIFS('Control Matrix'!$C$2:$C$18,$A9,'Control Matrix'!$K$2:$K$18,C$4)</f>
        <v/>
      </c>
      <c r="D9" s="5">
        <f>COUNTIFS('Control Matrix'!$C$2:$C$18,$A9,'Control Matrix'!$K$2:$K$18,D$4)</f>
        <v/>
      </c>
      <c r="E9" s="5">
        <f>COUNTIFS('Control Matrix'!$C$2:$C$18,$A9,'Control Matrix'!$K$2:$K$18,E$4)</f>
        <v/>
      </c>
      <c r="F9" s="5">
        <f>COUNTIFS('Control Matrix'!$C$2:$C$18,$A9,'Control Matrix'!$K$2:$K$18,F$4)</f>
        <v/>
      </c>
    </row>
    <row r="10">
      <c r="A10" s="4" t="inlineStr">
        <is>
          <t>Recover</t>
        </is>
      </c>
      <c r="B10" s="5">
        <f>COUNTIF('Control Matrix'!$C$2:$C$18,A10)</f>
        <v/>
      </c>
      <c r="C10" s="5">
        <f>COUNTIFS('Control Matrix'!$C$2:$C$18,$A10,'Control Matrix'!$K$2:$K$18,C$4)</f>
        <v/>
      </c>
      <c r="D10" s="5">
        <f>COUNTIFS('Control Matrix'!$C$2:$C$18,$A10,'Control Matrix'!$K$2:$K$18,D$4)</f>
        <v/>
      </c>
      <c r="E10" s="5">
        <f>COUNTIFS('Control Matrix'!$C$2:$C$18,$A10,'Control Matrix'!$K$2:$K$18,E$4)</f>
        <v/>
      </c>
      <c r="F10" s="5">
        <f>COUNTIFS('Control Matrix'!$C$2:$C$18,$A10,'Control Matrix'!$K$2:$K$18,F$4)</f>
        <v/>
      </c>
    </row>
    <row r="11">
      <c r="A11" s="6" t="inlineStr">
        <is>
          <t>Total</t>
        </is>
      </c>
      <c r="B11" s="7">
        <f>SUM(B5:B10)</f>
        <v/>
      </c>
      <c r="C11" s="7">
        <f>SUM(C5:C10)</f>
        <v/>
      </c>
      <c r="D11" s="7">
        <f>SUM(D5:D10)</f>
        <v/>
      </c>
      <c r="E11" s="7">
        <f>SUM(E5:E10)</f>
        <v/>
      </c>
      <c r="F11" s="7">
        <f>SUM(F5:F10)</f>
        <v/>
      </c>
    </row>
    <row r="14">
      <c r="A14" s="8" t="inlineStr">
        <is>
          <t>Test result</t>
        </is>
      </c>
      <c r="B14" s="8" t="inlineStr">
        <is>
          <t>Controls</t>
        </is>
      </c>
      <c r="C14" s="8" t="inlineStr">
        <is>
          <t>% of total</t>
        </is>
      </c>
    </row>
    <row r="15">
      <c r="A15" s="9" t="inlineStr">
        <is>
          <t>Effective</t>
        </is>
      </c>
      <c r="B15" s="5">
        <f>COUNTIF('Control Matrix'!$K$2:$K$18,A15)</f>
        <v/>
      </c>
      <c r="C15" s="10">
        <f>IF($B$11=0,0,B15/$B$11)</f>
        <v/>
      </c>
    </row>
    <row r="16">
      <c r="A16" s="11" t="inlineStr">
        <is>
          <t>Partially Effective</t>
        </is>
      </c>
      <c r="B16" s="5">
        <f>COUNTIF('Control Matrix'!$K$2:$K$18,A16)</f>
        <v/>
      </c>
      <c r="C16" s="10">
        <f>IF($B$11=0,0,B16/$B$11)</f>
        <v/>
      </c>
    </row>
    <row r="17">
      <c r="A17" s="12" t="inlineStr">
        <is>
          <t>Ineffective</t>
        </is>
      </c>
      <c r="B17" s="5">
        <f>COUNTIF('Control Matrix'!$K$2:$K$18,A17)</f>
        <v/>
      </c>
      <c r="C17" s="10">
        <f>IF($B$11=0,0,B17/$B$11)</f>
        <v/>
      </c>
    </row>
    <row r="18">
      <c r="A18" s="13" t="inlineStr">
        <is>
          <t>Not Tested</t>
        </is>
      </c>
      <c r="B18" s="5">
        <f>COUNTIF('Control Matrix'!$K$2:$K$18,A18)</f>
        <v/>
      </c>
      <c r="C18" s="10">
        <f>IF($B$11=0,0,B18/$B$11)</f>
        <v/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8" customWidth="1" min="3" max="3"/>
    <col width="15" customWidth="1" min="4" max="4"/>
    <col width="20" customWidth="1" min="5" max="5"/>
    <col width="11" customWidth="1" min="6" max="6"/>
    <col width="40" customWidth="1" min="7" max="7"/>
    <col width="30" customWidth="1" min="8" max="8"/>
    <col width="14" customWidth="1" min="9" max="9"/>
    <col width="12" customWidth="1" min="10" max="10"/>
    <col width="19" customWidth="1" min="11" max="11"/>
    <col width="26" customWidth="1" min="12" max="12"/>
  </cols>
  <sheetData>
    <row r="1" ht="30" customHeight="1">
      <c r="A1" s="14" t="inlineStr">
        <is>
          <t>Control ID</t>
        </is>
      </c>
      <c r="B1" s="14" t="inlineStr">
        <is>
          <t>Control Description</t>
        </is>
      </c>
      <c r="C1" s="14" t="inlineStr">
        <is>
          <t>NIST CSF 2.0 Function</t>
        </is>
      </c>
      <c r="D1" s="14" t="inlineStr">
        <is>
          <t>NIST CSF 2.0 ID</t>
        </is>
      </c>
      <c r="E1" s="14" t="inlineStr">
        <is>
          <t>ISO 27001:2022 Control</t>
        </is>
      </c>
      <c r="F1" s="14" t="inlineStr">
        <is>
          <t>SOC 2 TSC</t>
        </is>
      </c>
      <c r="G1" s="14" t="inlineStr">
        <is>
          <t>OSFI Guideline</t>
        </is>
      </c>
      <c r="H1" s="14" t="inlineStr">
        <is>
          <t>Control Owner</t>
        </is>
      </c>
      <c r="I1" s="14" t="inlineStr">
        <is>
          <t>Test Frequency</t>
        </is>
      </c>
      <c r="J1" s="14" t="inlineStr">
        <is>
          <t>Last Tested</t>
        </is>
      </c>
      <c r="K1" s="14" t="inlineStr">
        <is>
          <t>Test Result</t>
        </is>
      </c>
      <c r="L1" s="14" t="inlineStr">
        <is>
          <t>Evidence Link</t>
        </is>
      </c>
    </row>
    <row r="2">
      <c r="A2" s="15" t="inlineStr">
        <is>
          <t>FNB-C-01</t>
        </is>
      </c>
      <c r="B2" s="16" t="inlineStr">
        <is>
          <t>Policy for managing cybersecurity risks is established, communicated and enforced.</t>
        </is>
      </c>
      <c r="C2" s="17" t="inlineStr">
        <is>
          <t>Govern</t>
        </is>
      </c>
      <c r="D2" s="17" t="inlineStr">
        <is>
          <t>GV.PO-01</t>
        </is>
      </c>
      <c r="E2" s="16" t="inlineStr">
        <is>
          <t>A.5.1</t>
        </is>
      </c>
      <c r="F2" s="17" t="inlineStr">
        <is>
          <t>CC1.1</t>
        </is>
      </c>
      <c r="G2" s="16" t="inlineStr">
        <is>
          <t>B-13 — Governance and Risk Management</t>
        </is>
      </c>
      <c r="H2" s="16" t="inlineStr">
        <is>
          <t>Chief Information Security Officer</t>
        </is>
      </c>
      <c r="I2" s="17" t="inlineStr">
        <is>
          <t>Annual</t>
        </is>
      </c>
      <c r="J2" s="17" t="inlineStr">
        <is>
          <t>2026-09-01</t>
        </is>
      </c>
      <c r="K2" s="17" t="inlineStr">
        <is>
          <t>Partially Effective</t>
        </is>
      </c>
      <c r="L2" s="15" t="inlineStr"/>
    </row>
    <row r="3">
      <c r="A3" s="18" t="inlineStr">
        <is>
          <t>FNB-C-02</t>
        </is>
      </c>
      <c r="B3" s="19" t="inlineStr">
        <is>
          <t>Risk management objectives are established and agreed to by stakeholders.</t>
        </is>
      </c>
      <c r="C3" s="20" t="inlineStr">
        <is>
          <t>Govern</t>
        </is>
      </c>
      <c r="D3" s="20" t="inlineStr">
        <is>
          <t>GV.RM-01</t>
        </is>
      </c>
      <c r="E3" s="19" t="inlineStr">
        <is>
          <t>Clause 6.1</t>
        </is>
      </c>
      <c r="F3" s="20" t="inlineStr">
        <is>
          <t>CC3.1</t>
        </is>
      </c>
      <c r="G3" s="19" t="inlineStr">
        <is>
          <t>B-13 — Governance and Risk Management</t>
        </is>
      </c>
      <c r="H3" s="19" t="inlineStr">
        <is>
          <t>Chief Information Security Officer</t>
        </is>
      </c>
      <c r="I3" s="20" t="inlineStr">
        <is>
          <t>Annual</t>
        </is>
      </c>
      <c r="J3" s="20" t="inlineStr">
        <is>
          <t>2026-09-01</t>
        </is>
      </c>
      <c r="K3" s="20" t="inlineStr">
        <is>
          <t>Partially Effective</t>
        </is>
      </c>
      <c r="L3" s="18" t="inlineStr"/>
    </row>
    <row r="4">
      <c r="A4" s="15" t="inlineStr">
        <is>
          <t>FNB-C-03</t>
        </is>
      </c>
      <c r="B4" s="16" t="inlineStr">
        <is>
          <t>Suppliers are known and prioritised by criticality.</t>
        </is>
      </c>
      <c r="C4" s="17" t="inlineStr">
        <is>
          <t>Govern</t>
        </is>
      </c>
      <c r="D4" s="17" t="inlineStr">
        <is>
          <t>GV.SC-04</t>
        </is>
      </c>
      <c r="E4" s="16" t="inlineStr">
        <is>
          <t>A.5.19</t>
        </is>
      </c>
      <c r="F4" s="17" t="inlineStr">
        <is>
          <t>CC9.2</t>
        </is>
      </c>
      <c r="G4" s="16" t="inlineStr">
        <is>
          <t>B-10 — Third-Party Risk Management</t>
        </is>
      </c>
      <c r="H4" s="16" t="inlineStr">
        <is>
          <t>Chief Information Security Officer</t>
        </is>
      </c>
      <c r="I4" s="17" t="inlineStr">
        <is>
          <t>Quarterly</t>
        </is>
      </c>
      <c r="J4" s="17" t="inlineStr">
        <is>
          <t>2026-09-01</t>
        </is>
      </c>
      <c r="K4" s="17" t="inlineStr">
        <is>
          <t>Partially Effective</t>
        </is>
      </c>
      <c r="L4" s="15" t="inlineStr"/>
    </row>
    <row r="5">
      <c r="A5" s="18" t="inlineStr">
        <is>
          <t>FNB-C-04</t>
        </is>
      </c>
      <c r="B5" s="19" t="inlineStr">
        <is>
          <t>Risks posed by suppliers and third parties are assessed and monitored across the relationship.</t>
        </is>
      </c>
      <c r="C5" s="20" t="inlineStr">
        <is>
          <t>Govern</t>
        </is>
      </c>
      <c r="D5" s="20" t="inlineStr">
        <is>
          <t>GV.SC-07</t>
        </is>
      </c>
      <c r="E5" s="19" t="inlineStr">
        <is>
          <t>A.5.22</t>
        </is>
      </c>
      <c r="F5" s="20" t="inlineStr">
        <is>
          <t>CC9.2</t>
        </is>
      </c>
      <c r="G5" s="19" t="inlineStr">
        <is>
          <t>B-10 — Third-Party Risk Management</t>
        </is>
      </c>
      <c r="H5" s="19" t="inlineStr">
        <is>
          <t>Chief Information Security Officer</t>
        </is>
      </c>
      <c r="I5" s="20" t="inlineStr">
        <is>
          <t>Quarterly</t>
        </is>
      </c>
      <c r="J5" s="20" t="inlineStr">
        <is>
          <t>2026-09-01</t>
        </is>
      </c>
      <c r="K5" s="20" t="inlineStr">
        <is>
          <t>Partially Effective</t>
        </is>
      </c>
      <c r="L5" s="18" t="inlineStr"/>
    </row>
    <row r="6">
      <c r="A6" s="15" t="inlineStr">
        <is>
          <t>FNB-C-05</t>
        </is>
      </c>
      <c r="B6" s="16" t="inlineStr">
        <is>
          <t>Inventories of hardware managed by the organisation are maintained.</t>
        </is>
      </c>
      <c r="C6" s="17" t="inlineStr">
        <is>
          <t>Identify</t>
        </is>
      </c>
      <c r="D6" s="17" t="inlineStr">
        <is>
          <t>ID.AM-01</t>
        </is>
      </c>
      <c r="E6" s="16" t="inlineStr">
        <is>
          <t>A.5.9</t>
        </is>
      </c>
      <c r="F6" s="17" t="inlineStr">
        <is>
          <t>CC6.1</t>
        </is>
      </c>
      <c r="G6" s="16" t="inlineStr">
        <is>
          <t>B-13 — Technology Operations and Resilience</t>
        </is>
      </c>
      <c r="H6" s="16" t="inlineStr">
        <is>
          <t>Head of IT Asset Management</t>
        </is>
      </c>
      <c r="I6" s="17" t="inlineStr">
        <is>
          <t>Quarterly</t>
        </is>
      </c>
      <c r="J6" s="17" t="inlineStr">
        <is>
          <t>2026-09-01</t>
        </is>
      </c>
      <c r="K6" s="17" t="inlineStr">
        <is>
          <t>Partially Effective</t>
        </is>
      </c>
      <c r="L6" s="15" t="inlineStr"/>
    </row>
    <row r="7">
      <c r="A7" s="18" t="inlineStr">
        <is>
          <t>FNB-C-06</t>
        </is>
      </c>
      <c r="B7" s="19" t="inlineStr">
        <is>
          <t>Vulnerabilities in assets are identified, validated and recorded.</t>
        </is>
      </c>
      <c r="C7" s="20" t="inlineStr">
        <is>
          <t>Identify</t>
        </is>
      </c>
      <c r="D7" s="20" t="inlineStr">
        <is>
          <t>ID.RA-01</t>
        </is>
      </c>
      <c r="E7" s="19" t="inlineStr">
        <is>
          <t>A.8.8</t>
        </is>
      </c>
      <c r="F7" s="20" t="inlineStr">
        <is>
          <t>CC7.1</t>
        </is>
      </c>
      <c r="G7" s="19" t="inlineStr">
        <is>
          <t>B-13 — Cyber Security</t>
        </is>
      </c>
      <c r="H7" s="19" t="inlineStr">
        <is>
          <t>Head of IT Asset Management</t>
        </is>
      </c>
      <c r="I7" s="20" t="inlineStr">
        <is>
          <t>Quarterly</t>
        </is>
      </c>
      <c r="J7" s="20" t="inlineStr">
        <is>
          <t>2026-09-01</t>
        </is>
      </c>
      <c r="K7" s="20" t="inlineStr">
        <is>
          <t>Partially Effective</t>
        </is>
      </c>
      <c r="L7" s="18" t="inlineStr"/>
    </row>
    <row r="8">
      <c r="A8" s="15" t="inlineStr">
        <is>
          <t>FNB-C-07</t>
        </is>
      </c>
      <c r="B8" s="16" t="inlineStr">
        <is>
          <t>Incident response and other cybersecurity plans are established, maintained and improved.</t>
        </is>
      </c>
      <c r="C8" s="17" t="inlineStr">
        <is>
          <t>Identify</t>
        </is>
      </c>
      <c r="D8" s="17" t="inlineStr">
        <is>
          <t>ID.IM-04</t>
        </is>
      </c>
      <c r="E8" s="16" t="inlineStr">
        <is>
          <t>A.5.27</t>
        </is>
      </c>
      <c r="F8" s="17" t="inlineStr">
        <is>
          <t>CC4.2</t>
        </is>
      </c>
      <c r="G8" s="16" t="inlineStr">
        <is>
          <t>E-21 — Operational Risk and Resilience Management</t>
        </is>
      </c>
      <c r="H8" s="16" t="inlineStr">
        <is>
          <t>Head of IT Asset Management</t>
        </is>
      </c>
      <c r="I8" s="17" t="inlineStr">
        <is>
          <t>Per incident</t>
        </is>
      </c>
      <c r="J8" s="17" t="inlineStr">
        <is>
          <t>2026-09-01</t>
        </is>
      </c>
      <c r="K8" s="17" t="inlineStr">
        <is>
          <t>Partially Effective</t>
        </is>
      </c>
      <c r="L8" s="15" t="inlineStr"/>
    </row>
    <row r="9">
      <c r="A9" s="18" t="inlineStr">
        <is>
          <t>FNB-C-08</t>
        </is>
      </c>
      <c r="B9" s="19" t="inlineStr">
        <is>
          <t>Identities and credentials for authorised users, services and hardware are managed.</t>
        </is>
      </c>
      <c r="C9" s="20" t="inlineStr">
        <is>
          <t>Protect</t>
        </is>
      </c>
      <c r="D9" s="20" t="inlineStr">
        <is>
          <t>PR.AA-01</t>
        </is>
      </c>
      <c r="E9" s="19" t="inlineStr">
        <is>
          <t>A.5.15, A.8.5</t>
        </is>
      </c>
      <c r="F9" s="20" t="inlineStr">
        <is>
          <t>CC6.1</t>
        </is>
      </c>
      <c r="G9" s="19" t="inlineStr">
        <is>
          <t>B-13 — Cyber Security</t>
        </is>
      </c>
      <c r="H9" s="19" t="inlineStr">
        <is>
          <t>Head of Security Engineering</t>
        </is>
      </c>
      <c r="I9" s="20" t="inlineStr">
        <is>
          <t>Quarterly</t>
        </is>
      </c>
      <c r="J9" s="20" t="inlineStr">
        <is>
          <t>2026-09-01</t>
        </is>
      </c>
      <c r="K9" s="20" t="inlineStr">
        <is>
          <t>Effective</t>
        </is>
      </c>
      <c r="L9" s="18" t="inlineStr"/>
    </row>
    <row r="10">
      <c r="A10" s="15" t="inlineStr">
        <is>
          <t>FNB-C-09</t>
        </is>
      </c>
      <c r="B10" s="16" t="inlineStr">
        <is>
          <t>Access permissions and authorisations are managed, incorporating least privilege and separation of duties.</t>
        </is>
      </c>
      <c r="C10" s="17" t="inlineStr">
        <is>
          <t>Protect</t>
        </is>
      </c>
      <c r="D10" s="17" t="inlineStr">
        <is>
          <t>PR.AA-05</t>
        </is>
      </c>
      <c r="E10" s="16" t="inlineStr">
        <is>
          <t>A.5.18</t>
        </is>
      </c>
      <c r="F10" s="17" t="inlineStr">
        <is>
          <t>CC6.3</t>
        </is>
      </c>
      <c r="G10" s="16" t="inlineStr">
        <is>
          <t>B-13 — Cyber Security</t>
        </is>
      </c>
      <c r="H10" s="16" t="inlineStr">
        <is>
          <t>Head of Security Engineering</t>
        </is>
      </c>
      <c r="I10" s="17" t="inlineStr">
        <is>
          <t>Quarterly</t>
        </is>
      </c>
      <c r="J10" s="17" t="inlineStr">
        <is>
          <t>2026-09-01</t>
        </is>
      </c>
      <c r="K10" s="17" t="inlineStr">
        <is>
          <t>Effective</t>
        </is>
      </c>
      <c r="L10" s="15" t="inlineStr"/>
    </row>
    <row r="11">
      <c r="A11" s="18" t="inlineStr">
        <is>
          <t>FNB-C-10</t>
        </is>
      </c>
      <c r="B11" s="19" t="inlineStr">
        <is>
          <t>The confidentiality, integrity and availability of data-at-rest are protected.</t>
        </is>
      </c>
      <c r="C11" s="20" t="inlineStr">
        <is>
          <t>Protect</t>
        </is>
      </c>
      <c r="D11" s="20" t="inlineStr">
        <is>
          <t>PR.DS-01</t>
        </is>
      </c>
      <c r="E11" s="19" t="inlineStr">
        <is>
          <t>A.8.24</t>
        </is>
      </c>
      <c r="F11" s="20" t="inlineStr">
        <is>
          <t>CC6.7</t>
        </is>
      </c>
      <c r="G11" s="19" t="inlineStr">
        <is>
          <t>B-13 — Cyber Security</t>
        </is>
      </c>
      <c r="H11" s="19" t="inlineStr">
        <is>
          <t>Head of Security Engineering</t>
        </is>
      </c>
      <c r="I11" s="20" t="inlineStr">
        <is>
          <t>Semi-annual</t>
        </is>
      </c>
      <c r="J11" s="20" t="inlineStr">
        <is>
          <t>2026-09-01</t>
        </is>
      </c>
      <c r="K11" s="20" t="inlineStr">
        <is>
          <t>Effective</t>
        </is>
      </c>
      <c r="L11" s="18" t="inlineStr"/>
    </row>
    <row r="12">
      <c r="A12" s="15" t="inlineStr">
        <is>
          <t>FNB-C-11</t>
        </is>
      </c>
      <c r="B12" s="16" t="inlineStr">
        <is>
          <t>Backups of data are created, protected, maintained and tested.</t>
        </is>
      </c>
      <c r="C12" s="17" t="inlineStr">
        <is>
          <t>Protect</t>
        </is>
      </c>
      <c r="D12" s="17" t="inlineStr">
        <is>
          <t>PR.DS-11</t>
        </is>
      </c>
      <c r="E12" s="16" t="inlineStr">
        <is>
          <t>A.8.13</t>
        </is>
      </c>
      <c r="F12" s="17" t="inlineStr">
        <is>
          <t>A1.2</t>
        </is>
      </c>
      <c r="G12" s="16" t="inlineStr">
        <is>
          <t>E-21 — Operational Risk and Resilience Management</t>
        </is>
      </c>
      <c r="H12" s="16" t="inlineStr">
        <is>
          <t>Head of Security Engineering</t>
        </is>
      </c>
      <c r="I12" s="17" t="inlineStr">
        <is>
          <t>Quarterly</t>
        </is>
      </c>
      <c r="J12" s="17" t="inlineStr">
        <is>
          <t>2026-09-01</t>
        </is>
      </c>
      <c r="K12" s="17" t="inlineStr">
        <is>
          <t>Effective</t>
        </is>
      </c>
      <c r="L12" s="15" t="inlineStr"/>
    </row>
    <row r="13">
      <c r="A13" s="18" t="inlineStr">
        <is>
          <t>FNB-C-12</t>
        </is>
      </c>
      <c r="B13" s="19" t="inlineStr">
        <is>
          <t>Personnel are provided awareness and training.</t>
        </is>
      </c>
      <c r="C13" s="20" t="inlineStr">
        <is>
          <t>Protect</t>
        </is>
      </c>
      <c r="D13" s="20" t="inlineStr">
        <is>
          <t>PR.AT-01</t>
        </is>
      </c>
      <c r="E13" s="19" t="inlineStr">
        <is>
          <t>A.6.3</t>
        </is>
      </c>
      <c r="F13" s="20" t="inlineStr">
        <is>
          <t>CC1.4</t>
        </is>
      </c>
      <c r="G13" s="19" t="inlineStr">
        <is>
          <t>B-13 — Governance and Risk Management</t>
        </is>
      </c>
      <c r="H13" s="19" t="inlineStr">
        <is>
          <t>Head of Security Engineering</t>
        </is>
      </c>
      <c r="I13" s="20" t="inlineStr">
        <is>
          <t>Annual</t>
        </is>
      </c>
      <c r="J13" s="20" t="inlineStr">
        <is>
          <t>2026-09-01</t>
        </is>
      </c>
      <c r="K13" s="20" t="inlineStr">
        <is>
          <t>Effective</t>
        </is>
      </c>
      <c r="L13" s="18" t="inlineStr"/>
    </row>
    <row r="14">
      <c r="A14" s="15" t="inlineStr">
        <is>
          <t>FNB-C-13</t>
        </is>
      </c>
      <c r="B14" s="16" t="inlineStr">
        <is>
          <t>Networks and network services are monitored to find potentially adverse events.</t>
        </is>
      </c>
      <c r="C14" s="17" t="inlineStr">
        <is>
          <t>Detect</t>
        </is>
      </c>
      <c r="D14" s="17" t="inlineStr">
        <is>
          <t>DE.CM-01</t>
        </is>
      </c>
      <c r="E14" s="16" t="inlineStr">
        <is>
          <t>A.8.15, A.8.16</t>
        </is>
      </c>
      <c r="F14" s="17" t="inlineStr">
        <is>
          <t>CC7.2</t>
        </is>
      </c>
      <c r="G14" s="16" t="inlineStr">
        <is>
          <t>B-13 — Cyber Security</t>
        </is>
      </c>
      <c r="H14" s="16" t="inlineStr">
        <is>
          <t>Security Operations Centre Manager</t>
        </is>
      </c>
      <c r="I14" s="17" t="inlineStr">
        <is>
          <t>Monthly</t>
        </is>
      </c>
      <c r="J14" s="17" t="inlineStr">
        <is>
          <t>2026-09-01</t>
        </is>
      </c>
      <c r="K14" s="17" t="inlineStr">
        <is>
          <t>Partially Effective</t>
        </is>
      </c>
      <c r="L14" s="15" t="inlineStr"/>
    </row>
    <row r="15">
      <c r="A15" s="18" t="inlineStr">
        <is>
          <t>FNB-C-14</t>
        </is>
      </c>
      <c r="B15" s="19" t="inlineStr">
        <is>
          <t>Potentially adverse events are analysed to better understand associated activities.</t>
        </is>
      </c>
      <c r="C15" s="20" t="inlineStr">
        <is>
          <t>Detect</t>
        </is>
      </c>
      <c r="D15" s="20" t="inlineStr">
        <is>
          <t>DE.AE-02</t>
        </is>
      </c>
      <c r="E15" s="19" t="inlineStr">
        <is>
          <t>A.8.16</t>
        </is>
      </c>
      <c r="F15" s="20" t="inlineStr">
        <is>
          <t>CC7.3</t>
        </is>
      </c>
      <c r="G15" s="19" t="inlineStr">
        <is>
          <t>B-13 — Cyber Security</t>
        </is>
      </c>
      <c r="H15" s="19" t="inlineStr">
        <is>
          <t>Security Operations Centre Manager</t>
        </is>
      </c>
      <c r="I15" s="20" t="inlineStr">
        <is>
          <t>Monthly</t>
        </is>
      </c>
      <c r="J15" s="20" t="inlineStr">
        <is>
          <t>2026-09-01</t>
        </is>
      </c>
      <c r="K15" s="20" t="inlineStr">
        <is>
          <t>Partially Effective</t>
        </is>
      </c>
      <c r="L15" s="18" t="inlineStr"/>
    </row>
    <row r="16">
      <c r="A16" s="15" t="inlineStr">
        <is>
          <t>FNB-C-15</t>
        </is>
      </c>
      <c r="B16" s="16" t="inlineStr">
        <is>
          <t>The incident response plan is executed in coordination with relevant third parties once an incident is declared.</t>
        </is>
      </c>
      <c r="C16" s="17" t="inlineStr">
        <is>
          <t>Respond</t>
        </is>
      </c>
      <c r="D16" s="17" t="inlineStr">
        <is>
          <t>RS.MA-01</t>
        </is>
      </c>
      <c r="E16" s="16" t="inlineStr">
        <is>
          <t>A.5.24, A.5.26</t>
        </is>
      </c>
      <c r="F16" s="17" t="inlineStr">
        <is>
          <t>CC7.4</t>
        </is>
      </c>
      <c r="G16" s="16" t="inlineStr">
        <is>
          <t>B-13 — Cyber Security</t>
        </is>
      </c>
      <c r="H16" s="16" t="inlineStr">
        <is>
          <t>Incident Response Lead</t>
        </is>
      </c>
      <c r="I16" s="17" t="inlineStr">
        <is>
          <t>Annual</t>
        </is>
      </c>
      <c r="J16" s="17" t="inlineStr"/>
      <c r="K16" s="17" t="inlineStr">
        <is>
          <t>Not Tested</t>
        </is>
      </c>
      <c r="L16" s="15" t="inlineStr"/>
    </row>
    <row r="17">
      <c r="A17" s="18" t="inlineStr">
        <is>
          <t>FNB-C-16</t>
        </is>
      </c>
      <c r="B17" s="19" t="inlineStr">
        <is>
          <t>Internal and external stakeholders are notified of incidents.</t>
        </is>
      </c>
      <c r="C17" s="20" t="inlineStr">
        <is>
          <t>Respond</t>
        </is>
      </c>
      <c r="D17" s="20" t="inlineStr">
        <is>
          <t>RS.CO-02</t>
        </is>
      </c>
      <c r="E17" s="19" t="inlineStr">
        <is>
          <t>A.6.8</t>
        </is>
      </c>
      <c r="F17" s="20" t="inlineStr">
        <is>
          <t>CC2.2</t>
        </is>
      </c>
      <c r="G17" s="19" t="inlineStr">
        <is>
          <t>Technology and Cyber Security Incident Reporting advisory — 24-hour reporting</t>
        </is>
      </c>
      <c r="H17" s="19" t="inlineStr">
        <is>
          <t>Incident Response Lead</t>
        </is>
      </c>
      <c r="I17" s="20" t="inlineStr">
        <is>
          <t>Per incident</t>
        </is>
      </c>
      <c r="J17" s="20" t="inlineStr"/>
      <c r="K17" s="20" t="inlineStr">
        <is>
          <t>Not Tested</t>
        </is>
      </c>
      <c r="L17" s="18" t="inlineStr"/>
    </row>
    <row r="18">
      <c r="A18" s="15" t="inlineStr">
        <is>
          <t>FNB-C-17</t>
        </is>
      </c>
      <c r="B18" s="16" t="inlineStr">
        <is>
          <t>The recovery portion of the incident response plan is executed once initiated.</t>
        </is>
      </c>
      <c r="C18" s="17" t="inlineStr">
        <is>
          <t>Recover</t>
        </is>
      </c>
      <c r="D18" s="17" t="inlineStr">
        <is>
          <t>RC.RP-01</t>
        </is>
      </c>
      <c r="E18" s="16" t="inlineStr">
        <is>
          <t>A.5.29, A.5.30</t>
        </is>
      </c>
      <c r="F18" s="17" t="inlineStr">
        <is>
          <t>A1.2</t>
        </is>
      </c>
      <c r="G18" s="16" t="inlineStr">
        <is>
          <t>E-21 — Operational Risk and Resilience Management</t>
        </is>
      </c>
      <c r="H18" s="16" t="inlineStr">
        <is>
          <t>Head of Business Continuity</t>
        </is>
      </c>
      <c r="I18" s="17" t="inlineStr">
        <is>
          <t>Annual</t>
        </is>
      </c>
      <c r="J18" s="17" t="inlineStr">
        <is>
          <t>2026-09-01</t>
        </is>
      </c>
      <c r="K18" s="17" t="inlineStr">
        <is>
          <t>Effective</t>
        </is>
      </c>
      <c r="L18" s="15" t="inlineStr"/>
    </row>
  </sheetData>
  <autoFilter ref="A1:L1"/>
  <conditionalFormatting sqref="K2:K18">
    <cfRule type="cellIs" priority="1" operator="equal" dxfId="0" stopIfTrue="0">
      <formula>"Effective"</formula>
    </cfRule>
    <cfRule type="cellIs" priority="2" operator="equal" dxfId="1" stopIfTrue="0">
      <formula>"Partially Effective"</formula>
    </cfRule>
    <cfRule type="cellIs" priority="3" operator="equal" dxfId="2" stopIfTrue="0">
      <formula>"Ineffective"</formula>
    </cfRule>
    <cfRule type="cellIs" priority="4" operator="equal" dxfId="3" stopIfTrue="0">
      <formula>"Not Tested"</formula>
    </cfRule>
  </conditionalFormatting>
  <dataValidations count="1">
    <dataValidation sqref="K2:K18" showDropDown="0" showInputMessage="0" showErrorMessage="0" allowBlank="1" promptTitle="K" prompt="Effective, Partially Effective, Ineffective or Not Tested" type="list">
      <formula1>"Effective,Partially Effective,Ineffective,Not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2026-09-22T17:47:32Z</dcterms:created>
  <dcterms:modified xsi:type="dcterms:W3CDTF">2026-09-22T17:47:32Z</dcterms:modified>
</cp:coreProperties>
</file>