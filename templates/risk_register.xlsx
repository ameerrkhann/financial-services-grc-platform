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isk Register" sheetId="1" state="visible" r:id="rId1"/>
    <sheet name="Instructions" sheetId="2" state="visible" r:id="rId2"/>
  </sheets>
  <definedNames>
    <definedName name="_xlnm._FilterDatabase" localSheetId="0" hidden="1">'Risk Register'!$A$1:$T$1</definedName>
  </definedNames>
  <calcPr calcId="124519" fullCalcOnLoad="1"/>
</workbook>
</file>

<file path=xl/styles.xml><?xml version="1.0" encoding="utf-8"?>
<styleSheet xmlns="http://schemas.openxmlformats.org/spreadsheetml/2006/main">
  <numFmts count="2">
    <numFmt numFmtId="164" formatCode="&quot;$&quot;#,##0"/>
    <numFmt numFmtId="165" formatCode="0.0"/>
  </numFmts>
  <fonts count="6">
    <font>
      <name val="Calibri"/>
      <family val="2"/>
      <color theme="1"/>
      <sz val="11"/>
      <scheme val="minor"/>
    </font>
    <font>
      <b val="1"/>
      <color rgb="00FFFFFF"/>
      <sz val="10"/>
    </font>
    <font>
      <sz val="10"/>
    </font>
    <font>
      <b val="1"/>
      <color rgb="0014607A"/>
      <sz val="14"/>
    </font>
    <font>
      <i val="1"/>
      <color rgb="005A5A5A"/>
      <sz val="9"/>
    </font>
    <font>
      <b val="1"/>
      <sz val="10"/>
    </font>
  </fonts>
  <fills count="8">
    <fill>
      <patternFill/>
    </fill>
    <fill>
      <patternFill patternType="gray125"/>
    </fill>
    <fill>
      <patternFill patternType="solid">
        <fgColor rgb="0014607A"/>
      </patternFill>
    </fill>
    <fill>
      <patternFill patternType="solid">
        <fgColor rgb="00F5F8F9"/>
      </patternFill>
    </fill>
    <fill>
      <patternFill patternType="solid">
        <fgColor rgb="00F8CBCB"/>
      </patternFill>
    </fill>
    <fill>
      <patternFill patternType="solid">
        <fgColor rgb="00FBDDC4"/>
      </patternFill>
    </fill>
    <fill>
      <patternFill patternType="solid">
        <fgColor rgb="00FCF0C0"/>
      </patternFill>
    </fill>
    <fill>
      <patternFill patternType="solid">
        <fgColor rgb="00D4EDD5"/>
      </patternFill>
    </fill>
  </fills>
  <borders count="2">
    <border>
      <left/>
      <right/>
      <top/>
      <bottom/>
      <diagonal/>
    </border>
    <border>
      <left style="thin">
        <color rgb="00C9D6DB"/>
      </left>
      <right style="thin">
        <color rgb="00C9D6DB"/>
      </right>
      <top style="thin">
        <color rgb="00C9D6DB"/>
      </top>
      <bottom style="thin">
        <color rgb="00C9D6DB"/>
      </bottom>
    </border>
  </borders>
  <cellStyleXfs count="1">
    <xf numFmtId="0" fontId="0" fillId="0" borderId="0"/>
  </cellStyleXfs>
  <cellXfs count="25">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xf>
    <xf numFmtId="0" fontId="2" fillId="0" borderId="1" applyAlignment="1" pivotButton="0" quotePrefix="0" xfId="0">
      <alignment vertical="top" wrapText="1"/>
    </xf>
    <xf numFmtId="0" fontId="2" fillId="0" borderId="1" applyAlignment="1" pivotButton="0" quotePrefix="0" xfId="0">
      <alignment horizontal="center" vertical="top"/>
    </xf>
    <xf numFmtId="1" fontId="2" fillId="0" borderId="1" applyAlignment="1" pivotButton="0" quotePrefix="0" xfId="0">
      <alignment horizontal="center" vertical="top"/>
    </xf>
    <xf numFmtId="9" fontId="2" fillId="0" borderId="1" applyAlignment="1" pivotButton="0" quotePrefix="0" xfId="0">
      <alignment horizontal="center" vertical="top"/>
    </xf>
    <xf numFmtId="165" fontId="2" fillId="0" borderId="1" applyAlignment="1" pivotButton="0" quotePrefix="0" xfId="0">
      <alignment horizontal="center" vertical="top"/>
    </xf>
    <xf numFmtId="164" fontId="2" fillId="0" borderId="1" applyAlignment="1" pivotButton="0" quotePrefix="0" xfId="0">
      <alignment vertical="top"/>
    </xf>
    <xf numFmtId="0" fontId="2" fillId="3" borderId="1" applyAlignment="1" pivotButton="0" quotePrefix="0" xfId="0">
      <alignment vertical="top"/>
    </xf>
    <xf numFmtId="0" fontId="2" fillId="3" borderId="1" applyAlignment="1" pivotButton="0" quotePrefix="0" xfId="0">
      <alignment vertical="top" wrapText="1"/>
    </xf>
    <xf numFmtId="0" fontId="2" fillId="3" borderId="1" applyAlignment="1" pivotButton="0" quotePrefix="0" xfId="0">
      <alignment horizontal="center" vertical="top"/>
    </xf>
    <xf numFmtId="1" fontId="2" fillId="3" borderId="1" applyAlignment="1" pivotButton="0" quotePrefix="0" xfId="0">
      <alignment horizontal="center" vertical="top"/>
    </xf>
    <xf numFmtId="9" fontId="2" fillId="3" borderId="1" applyAlignment="1" pivotButton="0" quotePrefix="0" xfId="0">
      <alignment horizontal="center" vertical="top"/>
    </xf>
    <xf numFmtId="165" fontId="2" fillId="3" borderId="1" applyAlignment="1" pivotButton="0" quotePrefix="0" xfId="0">
      <alignment horizontal="center" vertical="top"/>
    </xf>
    <xf numFmtId="164" fontId="2" fillId="3" borderId="1" applyAlignment="1" pivotButton="0" quotePrefix="0" xfId="0">
      <alignment vertical="top"/>
    </xf>
    <xf numFmtId="0" fontId="3" fillId="0" borderId="0" pivotButton="0" quotePrefix="0" xfId="0"/>
    <xf numFmtId="0" fontId="4" fillId="0" borderId="0" pivotButton="0" quotePrefix="0" xfId="0"/>
    <xf numFmtId="0" fontId="1" fillId="2" borderId="0" pivotButton="0" quotePrefix="0" xfId="0"/>
    <xf numFmtId="0" fontId="5" fillId="0" borderId="1" applyAlignment="1" pivotButton="0" quotePrefix="0" xfId="0">
      <alignment vertical="top"/>
    </xf>
    <xf numFmtId="0" fontId="5" fillId="4" borderId="1" pivotButton="0" quotePrefix="0" xfId="0"/>
    <xf numFmtId="0" fontId="2" fillId="0" borderId="1" pivotButton="0" quotePrefix="0" xfId="0"/>
    <xf numFmtId="0" fontId="5" fillId="5" borderId="1" pivotButton="0" quotePrefix="0" xfId="0"/>
    <xf numFmtId="0" fontId="5" fillId="6" borderId="1" pivotButton="0" quotePrefix="0" xfId="0"/>
    <xf numFmtId="0" fontId="5" fillId="7" borderId="1" pivotButton="0" quotePrefix="0" xfId="0"/>
  </cellXfs>
  <cellStyles count="1">
    <cellStyle name="Normal" xfId="0" builtinId="0" hidden="0"/>
  </cellStyles>
  <dxfs count="4">
    <dxf>
      <fill>
        <patternFill patternType="solid">
          <fgColor rgb="00F8CBCB"/>
        </patternFill>
      </fill>
    </dxf>
    <dxf>
      <fill>
        <patternFill patternType="solid">
          <fgColor rgb="00FBDDC4"/>
        </patternFill>
      </fill>
    </dxf>
    <dxf>
      <fill>
        <patternFill patternType="solid">
          <fgColor rgb="00FCF0C0"/>
        </patternFill>
      </fill>
    </dxf>
    <dxf>
      <fill>
        <patternFill patternType="solid">
          <fgColor rgb="00D4EDD5"/>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6"/>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20" customWidth="1" min="3" max="3"/>
    <col width="24" customWidth="1" min="4" max="4"/>
    <col width="10" customWidth="1" min="5" max="5"/>
    <col width="9" customWidth="1" min="6" max="6"/>
    <col width="11" customWidth="1" min="7" max="7"/>
    <col width="14" customWidth="1" min="8" max="8"/>
    <col width="42" customWidth="1" min="9" max="9"/>
    <col width="13" customWidth="1" min="10" max="10"/>
    <col width="11" customWidth="1" min="11" max="11"/>
    <col width="14" customWidth="1" min="12" max="12"/>
    <col width="24" customWidth="1" min="13" max="13"/>
    <col width="12" customWidth="1" min="14" max="14"/>
    <col width="42" customWidth="1" min="15" max="15"/>
    <col width="12" customWidth="1" min="16" max="16"/>
    <col width="13" customWidth="1" min="17" max="17"/>
    <col width="15" customWidth="1" min="18" max="18"/>
    <col width="24" customWidth="1" min="19" max="19"/>
    <col width="42" customWidth="1" min="20" max="20"/>
  </cols>
  <sheetData>
    <row r="1" ht="30" customHeight="1">
      <c r="A1" s="1" t="inlineStr">
        <is>
          <t>Risk ID</t>
        </is>
      </c>
      <c r="B1" s="1" t="inlineStr">
        <is>
          <t>Risk Title</t>
        </is>
      </c>
      <c r="C1" s="1" t="inlineStr">
        <is>
          <t>Threat Source</t>
        </is>
      </c>
      <c r="D1" s="1" t="inlineStr">
        <is>
          <t>Asset / Process</t>
        </is>
      </c>
      <c r="E1" s="1" t="inlineStr">
        <is>
          <t>Likelihood (1-5)</t>
        </is>
      </c>
      <c r="F1" s="1" t="inlineStr">
        <is>
          <t>Impact (1-5)</t>
        </is>
      </c>
      <c r="G1" s="1" t="inlineStr">
        <is>
          <t>Inherent Risk</t>
        </is>
      </c>
      <c r="H1" s="1" t="inlineStr">
        <is>
          <t>Inherent Rating</t>
        </is>
      </c>
      <c r="I1" s="1" t="inlineStr">
        <is>
          <t>Existing Controls</t>
        </is>
      </c>
      <c r="J1" s="1" t="inlineStr">
        <is>
          <t>Control Effectiveness (%)</t>
        </is>
      </c>
      <c r="K1" s="1" t="inlineStr">
        <is>
          <t>Residual Risk</t>
        </is>
      </c>
      <c r="L1" s="1" t="inlineStr">
        <is>
          <t>Residual Rating</t>
        </is>
      </c>
      <c r="M1" s="1" t="inlineStr">
        <is>
          <t>Risk Owner</t>
        </is>
      </c>
      <c r="N1" s="1" t="inlineStr">
        <is>
          <t>Treatment</t>
        </is>
      </c>
      <c r="O1" s="1" t="inlineStr">
        <is>
          <t>Treatment Plan</t>
        </is>
      </c>
      <c r="P1" s="1" t="inlineStr">
        <is>
          <t>Target Date</t>
        </is>
      </c>
      <c r="Q1" s="1" t="inlineStr">
        <is>
          <t>Status</t>
        </is>
      </c>
      <c r="R1" s="1" t="inlineStr">
        <is>
          <t>ALE (FAIR, $)</t>
        </is>
      </c>
      <c r="S1" s="1" t="inlineStr">
        <is>
          <t>NIST CSF 2.0 Ref</t>
        </is>
      </c>
      <c r="T1" s="1" t="inlineStr">
        <is>
          <t>OSFI Ref</t>
        </is>
      </c>
    </row>
    <row r="2">
      <c r="A2" s="2" t="inlineStr">
        <is>
          <t>R-001</t>
        </is>
      </c>
      <c r="B2" s="3" t="inlineStr">
        <is>
          <t>Data Breach — Customer PII</t>
        </is>
      </c>
      <c r="C2" s="3" t="inlineStr">
        <is>
          <t>External attacker / insider</t>
        </is>
      </c>
      <c r="D2" s="3" t="inlineStr">
        <is>
          <t>Customer PII store, core banking database</t>
        </is>
      </c>
      <c r="E2" s="4" t="n">
        <v>3</v>
      </c>
      <c r="F2" s="4" t="n">
        <v>4</v>
      </c>
      <c r="G2" s="5">
        <f>IF(OR(E2="",F2=""),"",E2*F2)</f>
        <v/>
      </c>
      <c r="H2" s="4">
        <f>IF(G2="","",IF(G2&gt;=15,"Critical",IF(G2&gt;=10,"High",IF(G2&gt;=5,"Medium","Low"))))</f>
        <v/>
      </c>
      <c r="I2" s="3" t="inlineStr">
        <is>
          <t>Data Loss Prevention (DLP) tools; Encryption of all PII at rest and in transit; Privileged Access Management (PAM); OSFI 24-hour breach notification process</t>
        </is>
      </c>
      <c r="J2" s="6" t="n">
        <v>0.7</v>
      </c>
      <c r="K2" s="7">
        <f>IF(OR(G2="",J2=""),"",ROUND(G2*(1-J2),1))</f>
        <v/>
      </c>
      <c r="L2" s="4">
        <f>IF(K2="","",IF(K2&gt;=15,"Critical",IF(K2&gt;=10,"High",IF(K2&gt;=5,"Medium","Low"))))</f>
        <v/>
      </c>
      <c r="M2" s="2" t="inlineStr">
        <is>
          <t>Head of Data Protection</t>
        </is>
      </c>
      <c r="N2" s="2" t="inlineStr">
        <is>
          <t>Mitigate</t>
        </is>
      </c>
      <c r="O2" s="3" t="inlineStr">
        <is>
          <t>Fund the control set at $350,000/year. Reassess after implementation.</t>
        </is>
      </c>
      <c r="P2" s="4" t="inlineStr">
        <is>
          <t>2027-03-20</t>
        </is>
      </c>
      <c r="Q2" s="4" t="inlineStr">
        <is>
          <t>In Progress</t>
        </is>
      </c>
      <c r="R2" s="8" t="n">
        <v>4970939</v>
      </c>
      <c r="S2" s="3" t="inlineStr">
        <is>
          <t>DE.CM-01, PR.DS-01, RS.MA-01</t>
        </is>
      </c>
      <c r="T2" s="3" t="inlineStr">
        <is>
          <t>OSFI Technology and Cyber Security Incident Reporting advisory — 24-hour notification of reportable incidents</t>
        </is>
      </c>
    </row>
    <row r="3">
      <c r="A3" s="9" t="inlineStr">
        <is>
          <t>R-002</t>
        </is>
      </c>
      <c r="B3" s="10" t="inlineStr">
        <is>
          <t>Ransomware Attack</t>
        </is>
      </c>
      <c r="C3" s="10" t="inlineStr">
        <is>
          <t>Organised cybercrime</t>
        </is>
      </c>
      <c r="D3" s="10" t="inlineStr">
        <is>
          <t>Core banking platform, payment processing</t>
        </is>
      </c>
      <c r="E3" s="11" t="n">
        <v>3</v>
      </c>
      <c r="F3" s="11" t="n">
        <v>5</v>
      </c>
      <c r="G3" s="12">
        <f>IF(OR(E3="",F3=""),"",E3*F3)</f>
        <v/>
      </c>
      <c r="H3" s="11">
        <f>IF(G3="","",IF(G3&gt;=15,"Critical",IF(G3&gt;=10,"High",IF(G3&gt;=5,"Medium","Low"))))</f>
        <v/>
      </c>
      <c r="I3" s="10" t="inlineStr">
        <is>
          <t>Immutable offline backups tested quarterly; Network segmentation to limit lateral movement; Endpoint Detection &amp; Response (EDR) on all devices; Incident response plan with ransomware-specific playbook</t>
        </is>
      </c>
      <c r="J3" s="13" t="n">
        <v>0.75</v>
      </c>
      <c r="K3" s="14">
        <f>IF(OR(G3="",J3=""),"",ROUND(G3*(1-J3),1))</f>
        <v/>
      </c>
      <c r="L3" s="11">
        <f>IF(K3="","",IF(K3&gt;=15,"Critical",IF(K3&gt;=10,"High",IF(K3&gt;=5,"Medium","Low"))))</f>
        <v/>
      </c>
      <c r="M3" s="9" t="inlineStr">
        <is>
          <t>Head of Security Engineering</t>
        </is>
      </c>
      <c r="N3" s="9" t="inlineStr">
        <is>
          <t>Mitigate</t>
        </is>
      </c>
      <c r="O3" s="10" t="inlineStr">
        <is>
          <t>Fund the control set at $500,000/year. Reassess after implementation.</t>
        </is>
      </c>
      <c r="P3" s="11" t="inlineStr">
        <is>
          <t>2027-03-20</t>
        </is>
      </c>
      <c r="Q3" s="11" t="inlineStr">
        <is>
          <t>In Progress</t>
        </is>
      </c>
      <c r="R3" s="15" t="n">
        <v>5419843</v>
      </c>
      <c r="S3" s="10" t="inlineStr">
        <is>
          <t>PR.AA-01, DE.CM-01, RC.RP-01</t>
        </is>
      </c>
      <c r="T3" s="10" t="inlineStr">
        <is>
          <t>OSFI B-13 — Technology Operations and Resilience; incident reporting per the OSFI incident reporting advisory</t>
        </is>
      </c>
    </row>
    <row r="4">
      <c r="A4" s="2" t="inlineStr">
        <is>
          <t>R-003</t>
        </is>
      </c>
      <c r="B4" s="3" t="inlineStr">
        <is>
          <t>Insider Threat — Privileged Access Abuse</t>
        </is>
      </c>
      <c r="C4" s="3" t="inlineStr">
        <is>
          <t>Employee or contractor</t>
        </is>
      </c>
      <c r="D4" s="3" t="inlineStr">
        <is>
          <t>Privileged access to transaction systems</t>
        </is>
      </c>
      <c r="E4" s="4" t="n">
        <v>3</v>
      </c>
      <c r="F4" s="4" t="n">
        <v>3</v>
      </c>
      <c r="G4" s="5">
        <f>IF(OR(E4="",F4=""),"",E4*F4)</f>
        <v/>
      </c>
      <c r="H4" s="4">
        <f>IF(G4="","",IF(G4&gt;=15,"Critical",IF(G4&gt;=10,"High",IF(G4&gt;=5,"Medium","Low"))))</f>
        <v/>
      </c>
      <c r="I4" s="3" t="inlineStr">
        <is>
          <t>User and Entity Behaviour Analytics (UEBA); Least-privilege access with quarterly access reviews; Separation of duties for high-risk transactions; Offboarding procedure — immediate access revocation</t>
        </is>
      </c>
      <c r="J4" s="6" t="n">
        <v>0.65</v>
      </c>
      <c r="K4" s="7">
        <f>IF(OR(G4="",J4=""),"",ROUND(G4*(1-J4),1))</f>
        <v/>
      </c>
      <c r="L4" s="4">
        <f>IF(K4="","",IF(K4&gt;=15,"Critical",IF(K4&gt;=10,"High",IF(K4&gt;=5,"Medium","Low"))))</f>
        <v/>
      </c>
      <c r="M4" s="2" t="inlineStr">
        <is>
          <t>Head of Identity and Access Management</t>
        </is>
      </c>
      <c r="N4" s="2" t="inlineStr">
        <is>
          <t>Mitigate</t>
        </is>
      </c>
      <c r="O4" s="3" t="inlineStr">
        <is>
          <t>Fund the control set at $280,000/year. Reassess after implementation.</t>
        </is>
      </c>
      <c r="P4" s="4" t="inlineStr">
        <is>
          <t>2027-03-20</t>
        </is>
      </c>
      <c r="Q4" s="4" t="inlineStr">
        <is>
          <t>In Progress</t>
        </is>
      </c>
      <c r="R4" s="8" t="n">
        <v>2017033</v>
      </c>
      <c r="S4" s="3" t="inlineStr">
        <is>
          <t>PR.AA-05, DE.AE-02, RS.MA-01</t>
        </is>
      </c>
      <c r="T4" s="3" t="inlineStr">
        <is>
          <t>OSFI B-13 — Cyber Security domain (identity and access management)</t>
        </is>
      </c>
    </row>
    <row r="5">
      <c r="A5" s="9" t="inlineStr">
        <is>
          <t>R-004</t>
        </is>
      </c>
      <c r="B5" s="10" t="inlineStr">
        <is>
          <t>Third-Party Vendor Security Failure</t>
        </is>
      </c>
      <c r="C5" s="10" t="inlineStr">
        <is>
          <t>Third-party service provider</t>
        </is>
      </c>
      <c r="D5" s="10" t="inlineStr">
        <is>
          <t>Outsourced services and shared data</t>
        </is>
      </c>
      <c r="E5" s="11" t="n">
        <v>2</v>
      </c>
      <c r="F5" s="11" t="n">
        <v>4</v>
      </c>
      <c r="G5" s="12">
        <f>IF(OR(E5="",F5=""),"",E5*F5)</f>
        <v/>
      </c>
      <c r="H5" s="11">
        <f>IF(G5="","",IF(G5&gt;=15,"Critical",IF(G5&gt;=10,"High",IF(G5&gt;=5,"Medium","Low"))))</f>
        <v/>
      </c>
      <c r="I5" s="10" t="inlineStr">
        <is>
          <t>Vendor security questionnaires and risk tiering (Critical/High/Medium/Low); Contractual security requirements in all vendor agreements; Continuous vendor monitoring and annual reassessment; Incident notification clauses requiring vendor to notify within 24 hours</t>
        </is>
      </c>
      <c r="J5" s="13" t="n">
        <v>0.6</v>
      </c>
      <c r="K5" s="14">
        <f>IF(OR(G5="",J5=""),"",ROUND(G5*(1-J5),1))</f>
        <v/>
      </c>
      <c r="L5" s="11">
        <f>IF(K5="","",IF(K5&gt;=15,"Critical",IF(K5&gt;=10,"High",IF(K5&gt;=5,"Medium","Low"))))</f>
        <v/>
      </c>
      <c r="M5" s="9" t="inlineStr">
        <is>
          <t>Head of Third-Party Risk</t>
        </is>
      </c>
      <c r="N5" s="9" t="inlineStr">
        <is>
          <t>Mitigate</t>
        </is>
      </c>
      <c r="O5" s="10" t="inlineStr">
        <is>
          <t>Fund the control set at $200,000/year. Reassess after implementation.</t>
        </is>
      </c>
      <c r="P5" s="11" t="inlineStr">
        <is>
          <t>2027-03-20</t>
        </is>
      </c>
      <c r="Q5" s="11" t="inlineStr">
        <is>
          <t>In Progress</t>
        </is>
      </c>
      <c r="R5" s="15" t="n">
        <v>2702990</v>
      </c>
      <c r="S5" s="10" t="inlineStr">
        <is>
          <t>ID.RA-01, DE.CM-01, RS.CO-02</t>
        </is>
      </c>
      <c r="T5" s="10" t="inlineStr">
        <is>
          <t>OSFI B-10 — Third-Party Risk Management</t>
        </is>
      </c>
    </row>
    <row r="6">
      <c r="A6" s="2" t="inlineStr">
        <is>
          <t>R-005</t>
        </is>
      </c>
      <c r="B6" s="3" t="inlineStr">
        <is>
          <t>Cloud Misconfiguration — Data Exposure</t>
        </is>
      </c>
      <c r="C6" s="3" t="inlineStr">
        <is>
          <t>Internal misconfiguration</t>
        </is>
      </c>
      <c r="D6" s="3" t="inlineStr">
        <is>
          <t>Cloud storage, IAM policies, public APIs</t>
        </is>
      </c>
      <c r="E6" s="4" t="n">
        <v>4</v>
      </c>
      <c r="F6" s="4" t="n">
        <v>4</v>
      </c>
      <c r="G6" s="5">
        <f>IF(OR(E6="",F6=""),"",E6*F6)</f>
        <v/>
      </c>
      <c r="H6" s="4">
        <f>IF(G6="","",IF(G6&gt;=15,"Critical",IF(G6&gt;=10,"High",IF(G6&gt;=5,"Medium","Low"))))</f>
        <v/>
      </c>
      <c r="I6" s="3" t="inlineStr">
        <is>
          <t>Cloud Security Posture Management (CSPM) tool; Automated misconfiguration scanning on all cloud resources; Infrastructure-as-Code (IaC) security scanning in CI/CD pipeline; No public storage buckets policy enforced via cloud policy engine</t>
        </is>
      </c>
      <c r="J6" s="6" t="n">
        <v>0.8</v>
      </c>
      <c r="K6" s="7">
        <f>IF(OR(G6="",J6=""),"",ROUND(G6*(1-J6),1))</f>
        <v/>
      </c>
      <c r="L6" s="4">
        <f>IF(K6="","",IF(K6&gt;=15,"Critical",IF(K6&gt;=10,"High",IF(K6&gt;=5,"Medium","Low"))))</f>
        <v/>
      </c>
      <c r="M6" s="2" t="inlineStr">
        <is>
          <t>Head of Cloud Platform</t>
        </is>
      </c>
      <c r="N6" s="2" t="inlineStr">
        <is>
          <t>Mitigate</t>
        </is>
      </c>
      <c r="O6" s="3" t="inlineStr">
        <is>
          <t>Fund the control set at $180,000/year. Reassess after implementation.</t>
        </is>
      </c>
      <c r="P6" s="4" t="inlineStr">
        <is>
          <t>2027-03-20</t>
        </is>
      </c>
      <c r="Q6" s="4" t="inlineStr">
        <is>
          <t>In Progress</t>
        </is>
      </c>
      <c r="R6" s="8" t="n">
        <v>4464212</v>
      </c>
      <c r="S6" s="3" t="inlineStr">
        <is>
          <t>PR.DS-01, ID.AM-01, DE.CM-01</t>
        </is>
      </c>
      <c r="T6" s="3" t="inlineStr">
        <is>
          <t>OSFI B-13 — Technology Operations and Resilience (cloud and technology risk), with B-10 third-party expectations for cloud providers</t>
        </is>
      </c>
    </row>
    <row r="7">
      <c r="A7" s="9" t="n"/>
      <c r="B7" s="10" t="n"/>
      <c r="C7" s="10" t="n"/>
      <c r="D7" s="10" t="n"/>
      <c r="E7" s="11" t="n"/>
      <c r="F7" s="11" t="n"/>
      <c r="G7" s="12">
        <f>IF(OR(E7="",F7=""),"",E7*F7)</f>
        <v/>
      </c>
      <c r="H7" s="11">
        <f>IF(G7="","",IF(G7&gt;=15,"Critical",IF(G7&gt;=10,"High",IF(G7&gt;=5,"Medium","Low"))))</f>
        <v/>
      </c>
      <c r="I7" s="10" t="n"/>
      <c r="J7" s="13" t="n"/>
      <c r="K7" s="14">
        <f>IF(OR(G7="",J7=""),"",ROUND(G7*(1-J7),1))</f>
        <v/>
      </c>
      <c r="L7" s="11">
        <f>IF(K7="","",IF(K7&gt;=15,"Critical",IF(K7&gt;=10,"High",IF(K7&gt;=5,"Medium","Low"))))</f>
        <v/>
      </c>
      <c r="M7" s="9" t="n"/>
      <c r="N7" s="9" t="n"/>
      <c r="O7" s="10" t="n"/>
      <c r="P7" s="11" t="n"/>
      <c r="Q7" s="11" t="n"/>
      <c r="R7" s="15" t="n"/>
      <c r="S7" s="10" t="n"/>
      <c r="T7" s="10" t="n"/>
    </row>
    <row r="8">
      <c r="A8" s="2" t="n"/>
      <c r="B8" s="3" t="n"/>
      <c r="C8" s="3" t="n"/>
      <c r="D8" s="3" t="n"/>
      <c r="E8" s="4" t="n"/>
      <c r="F8" s="4" t="n"/>
      <c r="G8" s="5">
        <f>IF(OR(E8="",F8=""),"",E8*F8)</f>
        <v/>
      </c>
      <c r="H8" s="4">
        <f>IF(G8="","",IF(G8&gt;=15,"Critical",IF(G8&gt;=10,"High",IF(G8&gt;=5,"Medium","Low"))))</f>
        <v/>
      </c>
      <c r="I8" s="3" t="n"/>
      <c r="J8" s="6" t="n"/>
      <c r="K8" s="7">
        <f>IF(OR(G8="",J8=""),"",ROUND(G8*(1-J8),1))</f>
        <v/>
      </c>
      <c r="L8" s="4">
        <f>IF(K8="","",IF(K8&gt;=15,"Critical",IF(K8&gt;=10,"High",IF(K8&gt;=5,"Medium","Low"))))</f>
        <v/>
      </c>
      <c r="M8" s="2" t="n"/>
      <c r="N8" s="2" t="n"/>
      <c r="O8" s="3" t="n"/>
      <c r="P8" s="4" t="n"/>
      <c r="Q8" s="4" t="n"/>
      <c r="R8" s="8" t="n"/>
      <c r="S8" s="3" t="n"/>
      <c r="T8" s="3" t="n"/>
    </row>
    <row r="9">
      <c r="A9" s="9" t="n"/>
      <c r="B9" s="10" t="n"/>
      <c r="C9" s="10" t="n"/>
      <c r="D9" s="10" t="n"/>
      <c r="E9" s="11" t="n"/>
      <c r="F9" s="11" t="n"/>
      <c r="G9" s="12">
        <f>IF(OR(E9="",F9=""),"",E9*F9)</f>
        <v/>
      </c>
      <c r="H9" s="11">
        <f>IF(G9="","",IF(G9&gt;=15,"Critical",IF(G9&gt;=10,"High",IF(G9&gt;=5,"Medium","Low"))))</f>
        <v/>
      </c>
      <c r="I9" s="10" t="n"/>
      <c r="J9" s="13" t="n"/>
      <c r="K9" s="14">
        <f>IF(OR(G9="",J9=""),"",ROUND(G9*(1-J9),1))</f>
        <v/>
      </c>
      <c r="L9" s="11">
        <f>IF(K9="","",IF(K9&gt;=15,"Critical",IF(K9&gt;=10,"High",IF(K9&gt;=5,"Medium","Low"))))</f>
        <v/>
      </c>
      <c r="M9" s="9" t="n"/>
      <c r="N9" s="9" t="n"/>
      <c r="O9" s="10" t="n"/>
      <c r="P9" s="11" t="n"/>
      <c r="Q9" s="11" t="n"/>
      <c r="R9" s="15" t="n"/>
      <c r="S9" s="10" t="n"/>
      <c r="T9" s="10" t="n"/>
    </row>
    <row r="10">
      <c r="A10" s="2" t="n"/>
      <c r="B10" s="3" t="n"/>
      <c r="C10" s="3" t="n"/>
      <c r="D10" s="3" t="n"/>
      <c r="E10" s="4" t="n"/>
      <c r="F10" s="4" t="n"/>
      <c r="G10" s="5">
        <f>IF(OR(E10="",F10=""),"",E10*F10)</f>
        <v/>
      </c>
      <c r="H10" s="4">
        <f>IF(G10="","",IF(G10&gt;=15,"Critical",IF(G10&gt;=10,"High",IF(G10&gt;=5,"Medium","Low"))))</f>
        <v/>
      </c>
      <c r="I10" s="3" t="n"/>
      <c r="J10" s="6" t="n"/>
      <c r="K10" s="7">
        <f>IF(OR(G10="",J10=""),"",ROUND(G10*(1-J10),1))</f>
        <v/>
      </c>
      <c r="L10" s="4">
        <f>IF(K10="","",IF(K10&gt;=15,"Critical",IF(K10&gt;=10,"High",IF(K10&gt;=5,"Medium","Low"))))</f>
        <v/>
      </c>
      <c r="M10" s="2" t="n"/>
      <c r="N10" s="2" t="n"/>
      <c r="O10" s="3" t="n"/>
      <c r="P10" s="4" t="n"/>
      <c r="Q10" s="4" t="n"/>
      <c r="R10" s="8" t="n"/>
      <c r="S10" s="3" t="n"/>
      <c r="T10" s="3" t="n"/>
    </row>
    <row r="11">
      <c r="A11" s="9" t="n"/>
      <c r="B11" s="10" t="n"/>
      <c r="C11" s="10" t="n"/>
      <c r="D11" s="10" t="n"/>
      <c r="E11" s="11" t="n"/>
      <c r="F11" s="11" t="n"/>
      <c r="G11" s="12">
        <f>IF(OR(E11="",F11=""),"",E11*F11)</f>
        <v/>
      </c>
      <c r="H11" s="11">
        <f>IF(G11="","",IF(G11&gt;=15,"Critical",IF(G11&gt;=10,"High",IF(G11&gt;=5,"Medium","Low"))))</f>
        <v/>
      </c>
      <c r="I11" s="10" t="n"/>
      <c r="J11" s="13" t="n"/>
      <c r="K11" s="14">
        <f>IF(OR(G11="",J11=""),"",ROUND(G11*(1-J11),1))</f>
        <v/>
      </c>
      <c r="L11" s="11">
        <f>IF(K11="","",IF(K11&gt;=15,"Critical",IF(K11&gt;=10,"High",IF(K11&gt;=5,"Medium","Low"))))</f>
        <v/>
      </c>
      <c r="M11" s="9" t="n"/>
      <c r="N11" s="9" t="n"/>
      <c r="O11" s="10" t="n"/>
      <c r="P11" s="11" t="n"/>
      <c r="Q11" s="11" t="n"/>
      <c r="R11" s="15" t="n"/>
      <c r="S11" s="10" t="n"/>
      <c r="T11" s="10" t="n"/>
    </row>
    <row r="12">
      <c r="A12" s="2" t="n"/>
      <c r="B12" s="3" t="n"/>
      <c r="C12" s="3" t="n"/>
      <c r="D12" s="3" t="n"/>
      <c r="E12" s="4" t="n"/>
      <c r="F12" s="4" t="n"/>
      <c r="G12" s="5">
        <f>IF(OR(E12="",F12=""),"",E12*F12)</f>
        <v/>
      </c>
      <c r="H12" s="4">
        <f>IF(G12="","",IF(G12&gt;=15,"Critical",IF(G12&gt;=10,"High",IF(G12&gt;=5,"Medium","Low"))))</f>
        <v/>
      </c>
      <c r="I12" s="3" t="n"/>
      <c r="J12" s="6" t="n"/>
      <c r="K12" s="7">
        <f>IF(OR(G12="",J12=""),"",ROUND(G12*(1-J12),1))</f>
        <v/>
      </c>
      <c r="L12" s="4">
        <f>IF(K12="","",IF(K12&gt;=15,"Critical",IF(K12&gt;=10,"High",IF(K12&gt;=5,"Medium","Low"))))</f>
        <v/>
      </c>
      <c r="M12" s="2" t="n"/>
      <c r="N12" s="2" t="n"/>
      <c r="O12" s="3" t="n"/>
      <c r="P12" s="4" t="n"/>
      <c r="Q12" s="4" t="n"/>
      <c r="R12" s="8" t="n"/>
      <c r="S12" s="3" t="n"/>
      <c r="T12" s="3" t="n"/>
    </row>
    <row r="13">
      <c r="A13" s="9" t="n"/>
      <c r="B13" s="10" t="n"/>
      <c r="C13" s="10" t="n"/>
      <c r="D13" s="10" t="n"/>
      <c r="E13" s="11" t="n"/>
      <c r="F13" s="11" t="n"/>
      <c r="G13" s="12">
        <f>IF(OR(E13="",F13=""),"",E13*F13)</f>
        <v/>
      </c>
      <c r="H13" s="11">
        <f>IF(G13="","",IF(G13&gt;=15,"Critical",IF(G13&gt;=10,"High",IF(G13&gt;=5,"Medium","Low"))))</f>
        <v/>
      </c>
      <c r="I13" s="10" t="n"/>
      <c r="J13" s="13" t="n"/>
      <c r="K13" s="14">
        <f>IF(OR(G13="",J13=""),"",ROUND(G13*(1-J13),1))</f>
        <v/>
      </c>
      <c r="L13" s="11">
        <f>IF(K13="","",IF(K13&gt;=15,"Critical",IF(K13&gt;=10,"High",IF(K13&gt;=5,"Medium","Low"))))</f>
        <v/>
      </c>
      <c r="M13" s="9" t="n"/>
      <c r="N13" s="9" t="n"/>
      <c r="O13" s="10" t="n"/>
      <c r="P13" s="11" t="n"/>
      <c r="Q13" s="11" t="n"/>
      <c r="R13" s="15" t="n"/>
      <c r="S13" s="10" t="n"/>
      <c r="T13" s="10" t="n"/>
    </row>
    <row r="14">
      <c r="A14" s="2" t="n"/>
      <c r="B14" s="3" t="n"/>
      <c r="C14" s="3" t="n"/>
      <c r="D14" s="3" t="n"/>
      <c r="E14" s="4" t="n"/>
      <c r="F14" s="4" t="n"/>
      <c r="G14" s="5">
        <f>IF(OR(E14="",F14=""),"",E14*F14)</f>
        <v/>
      </c>
      <c r="H14" s="4">
        <f>IF(G14="","",IF(G14&gt;=15,"Critical",IF(G14&gt;=10,"High",IF(G14&gt;=5,"Medium","Low"))))</f>
        <v/>
      </c>
      <c r="I14" s="3" t="n"/>
      <c r="J14" s="6" t="n"/>
      <c r="K14" s="7">
        <f>IF(OR(G14="",J14=""),"",ROUND(G14*(1-J14),1))</f>
        <v/>
      </c>
      <c r="L14" s="4">
        <f>IF(K14="","",IF(K14&gt;=15,"Critical",IF(K14&gt;=10,"High",IF(K14&gt;=5,"Medium","Low"))))</f>
        <v/>
      </c>
      <c r="M14" s="2" t="n"/>
      <c r="N14" s="2" t="n"/>
      <c r="O14" s="3" t="n"/>
      <c r="P14" s="4" t="n"/>
      <c r="Q14" s="4" t="n"/>
      <c r="R14" s="8" t="n"/>
      <c r="S14" s="3" t="n"/>
      <c r="T14" s="3" t="n"/>
    </row>
    <row r="15">
      <c r="A15" s="9" t="n"/>
      <c r="B15" s="10" t="n"/>
      <c r="C15" s="10" t="n"/>
      <c r="D15" s="10" t="n"/>
      <c r="E15" s="11" t="n"/>
      <c r="F15" s="11" t="n"/>
      <c r="G15" s="12">
        <f>IF(OR(E15="",F15=""),"",E15*F15)</f>
        <v/>
      </c>
      <c r="H15" s="11">
        <f>IF(G15="","",IF(G15&gt;=15,"Critical",IF(G15&gt;=10,"High",IF(G15&gt;=5,"Medium","Low"))))</f>
        <v/>
      </c>
      <c r="I15" s="10" t="n"/>
      <c r="J15" s="13" t="n"/>
      <c r="K15" s="14">
        <f>IF(OR(G15="",J15=""),"",ROUND(G15*(1-J15),1))</f>
        <v/>
      </c>
      <c r="L15" s="11">
        <f>IF(K15="","",IF(K15&gt;=15,"Critical",IF(K15&gt;=10,"High",IF(K15&gt;=5,"Medium","Low"))))</f>
        <v/>
      </c>
      <c r="M15" s="9" t="n"/>
      <c r="N15" s="9" t="n"/>
      <c r="O15" s="10" t="n"/>
      <c r="P15" s="11" t="n"/>
      <c r="Q15" s="11" t="n"/>
      <c r="R15" s="15" t="n"/>
      <c r="S15" s="10" t="n"/>
      <c r="T15" s="10" t="n"/>
    </row>
    <row r="16">
      <c r="A16" s="2" t="n"/>
      <c r="B16" s="3" t="n"/>
      <c r="C16" s="3" t="n"/>
      <c r="D16" s="3" t="n"/>
      <c r="E16" s="4" t="n"/>
      <c r="F16" s="4" t="n"/>
      <c r="G16" s="5">
        <f>IF(OR(E16="",F16=""),"",E16*F16)</f>
        <v/>
      </c>
      <c r="H16" s="4">
        <f>IF(G16="","",IF(G16&gt;=15,"Critical",IF(G16&gt;=10,"High",IF(G16&gt;=5,"Medium","Low"))))</f>
        <v/>
      </c>
      <c r="I16" s="3" t="n"/>
      <c r="J16" s="6" t="n"/>
      <c r="K16" s="7">
        <f>IF(OR(G16="",J16=""),"",ROUND(G16*(1-J16),1))</f>
        <v/>
      </c>
      <c r="L16" s="4">
        <f>IF(K16="","",IF(K16&gt;=15,"Critical",IF(K16&gt;=10,"High",IF(K16&gt;=5,"Medium","Low"))))</f>
        <v/>
      </c>
      <c r="M16" s="2" t="n"/>
      <c r="N16" s="2" t="n"/>
      <c r="O16" s="3" t="n"/>
      <c r="P16" s="4" t="n"/>
      <c r="Q16" s="4" t="n"/>
      <c r="R16" s="8" t="n"/>
      <c r="S16" s="3" t="n"/>
      <c r="T16" s="3" t="n"/>
    </row>
    <row r="17">
      <c r="A17" s="9" t="n"/>
      <c r="B17" s="10" t="n"/>
      <c r="C17" s="10" t="n"/>
      <c r="D17" s="10" t="n"/>
      <c r="E17" s="11" t="n"/>
      <c r="F17" s="11" t="n"/>
      <c r="G17" s="12">
        <f>IF(OR(E17="",F17=""),"",E17*F17)</f>
        <v/>
      </c>
      <c r="H17" s="11">
        <f>IF(G17="","",IF(G17&gt;=15,"Critical",IF(G17&gt;=10,"High",IF(G17&gt;=5,"Medium","Low"))))</f>
        <v/>
      </c>
      <c r="I17" s="10" t="n"/>
      <c r="J17" s="13" t="n"/>
      <c r="K17" s="14">
        <f>IF(OR(G17="",J17=""),"",ROUND(G17*(1-J17),1))</f>
        <v/>
      </c>
      <c r="L17" s="11">
        <f>IF(K17="","",IF(K17&gt;=15,"Critical",IF(K17&gt;=10,"High",IF(K17&gt;=5,"Medium","Low"))))</f>
        <v/>
      </c>
      <c r="M17" s="9" t="n"/>
      <c r="N17" s="9" t="n"/>
      <c r="O17" s="10" t="n"/>
      <c r="P17" s="11" t="n"/>
      <c r="Q17" s="11" t="n"/>
      <c r="R17" s="15" t="n"/>
      <c r="S17" s="10" t="n"/>
      <c r="T17" s="10" t="n"/>
    </row>
    <row r="18">
      <c r="A18" s="2" t="n"/>
      <c r="B18" s="3" t="n"/>
      <c r="C18" s="3" t="n"/>
      <c r="D18" s="3" t="n"/>
      <c r="E18" s="4" t="n"/>
      <c r="F18" s="4" t="n"/>
      <c r="G18" s="5">
        <f>IF(OR(E18="",F18=""),"",E18*F18)</f>
        <v/>
      </c>
      <c r="H18" s="4">
        <f>IF(G18="","",IF(G18&gt;=15,"Critical",IF(G18&gt;=10,"High",IF(G18&gt;=5,"Medium","Low"))))</f>
        <v/>
      </c>
      <c r="I18" s="3" t="n"/>
      <c r="J18" s="6" t="n"/>
      <c r="K18" s="7">
        <f>IF(OR(G18="",J18=""),"",ROUND(G18*(1-J18),1))</f>
        <v/>
      </c>
      <c r="L18" s="4">
        <f>IF(K18="","",IF(K18&gt;=15,"Critical",IF(K18&gt;=10,"High",IF(K18&gt;=5,"Medium","Low"))))</f>
        <v/>
      </c>
      <c r="M18" s="2" t="n"/>
      <c r="N18" s="2" t="n"/>
      <c r="O18" s="3" t="n"/>
      <c r="P18" s="4" t="n"/>
      <c r="Q18" s="4" t="n"/>
      <c r="R18" s="8" t="n"/>
      <c r="S18" s="3" t="n"/>
      <c r="T18" s="3" t="n"/>
    </row>
    <row r="19">
      <c r="A19" s="9" t="n"/>
      <c r="B19" s="10" t="n"/>
      <c r="C19" s="10" t="n"/>
      <c r="D19" s="10" t="n"/>
      <c r="E19" s="11" t="n"/>
      <c r="F19" s="11" t="n"/>
      <c r="G19" s="12">
        <f>IF(OR(E19="",F19=""),"",E19*F19)</f>
        <v/>
      </c>
      <c r="H19" s="11">
        <f>IF(G19="","",IF(G19&gt;=15,"Critical",IF(G19&gt;=10,"High",IF(G19&gt;=5,"Medium","Low"))))</f>
        <v/>
      </c>
      <c r="I19" s="10" t="n"/>
      <c r="J19" s="13" t="n"/>
      <c r="K19" s="14">
        <f>IF(OR(G19="",J19=""),"",ROUND(G19*(1-J19),1))</f>
        <v/>
      </c>
      <c r="L19" s="11">
        <f>IF(K19="","",IF(K19&gt;=15,"Critical",IF(K19&gt;=10,"High",IF(K19&gt;=5,"Medium","Low"))))</f>
        <v/>
      </c>
      <c r="M19" s="9" t="n"/>
      <c r="N19" s="9" t="n"/>
      <c r="O19" s="10" t="n"/>
      <c r="P19" s="11" t="n"/>
      <c r="Q19" s="11" t="n"/>
      <c r="R19" s="15" t="n"/>
      <c r="S19" s="10" t="n"/>
      <c r="T19" s="10" t="n"/>
    </row>
    <row r="20">
      <c r="A20" s="2" t="n"/>
      <c r="B20" s="3" t="n"/>
      <c r="C20" s="3" t="n"/>
      <c r="D20" s="3" t="n"/>
      <c r="E20" s="4" t="n"/>
      <c r="F20" s="4" t="n"/>
      <c r="G20" s="5">
        <f>IF(OR(E20="",F20=""),"",E20*F20)</f>
        <v/>
      </c>
      <c r="H20" s="4">
        <f>IF(G20="","",IF(G20&gt;=15,"Critical",IF(G20&gt;=10,"High",IF(G20&gt;=5,"Medium","Low"))))</f>
        <v/>
      </c>
      <c r="I20" s="3" t="n"/>
      <c r="J20" s="6" t="n"/>
      <c r="K20" s="7">
        <f>IF(OR(G20="",J20=""),"",ROUND(G20*(1-J20),1))</f>
        <v/>
      </c>
      <c r="L20" s="4">
        <f>IF(K20="","",IF(K20&gt;=15,"Critical",IF(K20&gt;=10,"High",IF(K20&gt;=5,"Medium","Low"))))</f>
        <v/>
      </c>
      <c r="M20" s="2" t="n"/>
      <c r="N20" s="2" t="n"/>
      <c r="O20" s="3" t="n"/>
      <c r="P20" s="4" t="n"/>
      <c r="Q20" s="4" t="n"/>
      <c r="R20" s="8" t="n"/>
      <c r="S20" s="3" t="n"/>
      <c r="T20" s="3" t="n"/>
    </row>
    <row r="21">
      <c r="A21" s="9" t="n"/>
      <c r="B21" s="10" t="n"/>
      <c r="C21" s="10" t="n"/>
      <c r="D21" s="10" t="n"/>
      <c r="E21" s="11" t="n"/>
      <c r="F21" s="11" t="n"/>
      <c r="G21" s="12">
        <f>IF(OR(E21="",F21=""),"",E21*F21)</f>
        <v/>
      </c>
      <c r="H21" s="11">
        <f>IF(G21="","",IF(G21&gt;=15,"Critical",IF(G21&gt;=10,"High",IF(G21&gt;=5,"Medium","Low"))))</f>
        <v/>
      </c>
      <c r="I21" s="10" t="n"/>
      <c r="J21" s="13" t="n"/>
      <c r="K21" s="14">
        <f>IF(OR(G21="",J21=""),"",ROUND(G21*(1-J21),1))</f>
        <v/>
      </c>
      <c r="L21" s="11">
        <f>IF(K21="","",IF(K21&gt;=15,"Critical",IF(K21&gt;=10,"High",IF(K21&gt;=5,"Medium","Low"))))</f>
        <v/>
      </c>
      <c r="M21" s="9" t="n"/>
      <c r="N21" s="9" t="n"/>
      <c r="O21" s="10" t="n"/>
      <c r="P21" s="11" t="n"/>
      <c r="Q21" s="11" t="n"/>
      <c r="R21" s="15" t="n"/>
      <c r="S21" s="10" t="n"/>
      <c r="T21" s="10" t="n"/>
    </row>
    <row r="22">
      <c r="A22" s="2" t="n"/>
      <c r="B22" s="3" t="n"/>
      <c r="C22" s="3" t="n"/>
      <c r="D22" s="3" t="n"/>
      <c r="E22" s="4" t="n"/>
      <c r="F22" s="4" t="n"/>
      <c r="G22" s="5">
        <f>IF(OR(E22="",F22=""),"",E22*F22)</f>
        <v/>
      </c>
      <c r="H22" s="4">
        <f>IF(G22="","",IF(G22&gt;=15,"Critical",IF(G22&gt;=10,"High",IF(G22&gt;=5,"Medium","Low"))))</f>
        <v/>
      </c>
      <c r="I22" s="3" t="n"/>
      <c r="J22" s="6" t="n"/>
      <c r="K22" s="7">
        <f>IF(OR(G22="",J22=""),"",ROUND(G22*(1-J22),1))</f>
        <v/>
      </c>
      <c r="L22" s="4">
        <f>IF(K22="","",IF(K22&gt;=15,"Critical",IF(K22&gt;=10,"High",IF(K22&gt;=5,"Medium","Low"))))</f>
        <v/>
      </c>
      <c r="M22" s="2" t="n"/>
      <c r="N22" s="2" t="n"/>
      <c r="O22" s="3" t="n"/>
      <c r="P22" s="4" t="n"/>
      <c r="Q22" s="4" t="n"/>
      <c r="R22" s="8" t="n"/>
      <c r="S22" s="3" t="n"/>
      <c r="T22" s="3" t="n"/>
    </row>
    <row r="23">
      <c r="A23" s="9" t="n"/>
      <c r="B23" s="10" t="n"/>
      <c r="C23" s="10" t="n"/>
      <c r="D23" s="10" t="n"/>
      <c r="E23" s="11" t="n"/>
      <c r="F23" s="11" t="n"/>
      <c r="G23" s="12">
        <f>IF(OR(E23="",F23=""),"",E23*F23)</f>
        <v/>
      </c>
      <c r="H23" s="11">
        <f>IF(G23="","",IF(G23&gt;=15,"Critical",IF(G23&gt;=10,"High",IF(G23&gt;=5,"Medium","Low"))))</f>
        <v/>
      </c>
      <c r="I23" s="10" t="n"/>
      <c r="J23" s="13" t="n"/>
      <c r="K23" s="14">
        <f>IF(OR(G23="",J23=""),"",ROUND(G23*(1-J23),1))</f>
        <v/>
      </c>
      <c r="L23" s="11">
        <f>IF(K23="","",IF(K23&gt;=15,"Critical",IF(K23&gt;=10,"High",IF(K23&gt;=5,"Medium","Low"))))</f>
        <v/>
      </c>
      <c r="M23" s="9" t="n"/>
      <c r="N23" s="9" t="n"/>
      <c r="O23" s="10" t="n"/>
      <c r="P23" s="11" t="n"/>
      <c r="Q23" s="11" t="n"/>
      <c r="R23" s="15" t="n"/>
      <c r="S23" s="10" t="n"/>
      <c r="T23" s="10" t="n"/>
    </row>
    <row r="24">
      <c r="A24" s="2" t="n"/>
      <c r="B24" s="3" t="n"/>
      <c r="C24" s="3" t="n"/>
      <c r="D24" s="3" t="n"/>
      <c r="E24" s="4" t="n"/>
      <c r="F24" s="4" t="n"/>
      <c r="G24" s="5">
        <f>IF(OR(E24="",F24=""),"",E24*F24)</f>
        <v/>
      </c>
      <c r="H24" s="4">
        <f>IF(G24="","",IF(G24&gt;=15,"Critical",IF(G24&gt;=10,"High",IF(G24&gt;=5,"Medium","Low"))))</f>
        <v/>
      </c>
      <c r="I24" s="3" t="n"/>
      <c r="J24" s="6" t="n"/>
      <c r="K24" s="7">
        <f>IF(OR(G24="",J24=""),"",ROUND(G24*(1-J24),1))</f>
        <v/>
      </c>
      <c r="L24" s="4">
        <f>IF(K24="","",IF(K24&gt;=15,"Critical",IF(K24&gt;=10,"High",IF(K24&gt;=5,"Medium","Low"))))</f>
        <v/>
      </c>
      <c r="M24" s="2" t="n"/>
      <c r="N24" s="2" t="n"/>
      <c r="O24" s="3" t="n"/>
      <c r="P24" s="4" t="n"/>
      <c r="Q24" s="4" t="n"/>
      <c r="R24" s="8" t="n"/>
      <c r="S24" s="3" t="n"/>
      <c r="T24" s="3" t="n"/>
    </row>
    <row r="25">
      <c r="A25" s="9" t="n"/>
      <c r="B25" s="10" t="n"/>
      <c r="C25" s="10" t="n"/>
      <c r="D25" s="10" t="n"/>
      <c r="E25" s="11" t="n"/>
      <c r="F25" s="11" t="n"/>
      <c r="G25" s="12">
        <f>IF(OR(E25="",F25=""),"",E25*F25)</f>
        <v/>
      </c>
      <c r="H25" s="11">
        <f>IF(G25="","",IF(G25&gt;=15,"Critical",IF(G25&gt;=10,"High",IF(G25&gt;=5,"Medium","Low"))))</f>
        <v/>
      </c>
      <c r="I25" s="10" t="n"/>
      <c r="J25" s="13" t="n"/>
      <c r="K25" s="14">
        <f>IF(OR(G25="",J25=""),"",ROUND(G25*(1-J25),1))</f>
        <v/>
      </c>
      <c r="L25" s="11">
        <f>IF(K25="","",IF(K25&gt;=15,"Critical",IF(K25&gt;=10,"High",IF(K25&gt;=5,"Medium","Low"))))</f>
        <v/>
      </c>
      <c r="M25" s="9" t="n"/>
      <c r="N25" s="9" t="n"/>
      <c r="O25" s="10" t="n"/>
      <c r="P25" s="11" t="n"/>
      <c r="Q25" s="11" t="n"/>
      <c r="R25" s="15" t="n"/>
      <c r="S25" s="10" t="n"/>
      <c r="T25" s="10" t="n"/>
    </row>
    <row r="26">
      <c r="A26" s="2" t="n"/>
      <c r="B26" s="3" t="n"/>
      <c r="C26" s="3" t="n"/>
      <c r="D26" s="3" t="n"/>
      <c r="E26" s="4" t="n"/>
      <c r="F26" s="4" t="n"/>
      <c r="G26" s="5">
        <f>IF(OR(E26="",F26=""),"",E26*F26)</f>
        <v/>
      </c>
      <c r="H26" s="4">
        <f>IF(G26="","",IF(G26&gt;=15,"Critical",IF(G26&gt;=10,"High",IF(G26&gt;=5,"Medium","Low"))))</f>
        <v/>
      </c>
      <c r="I26" s="3" t="n"/>
      <c r="J26" s="6" t="n"/>
      <c r="K26" s="7">
        <f>IF(OR(G26="",J26=""),"",ROUND(G26*(1-J26),1))</f>
        <v/>
      </c>
      <c r="L26" s="4">
        <f>IF(K26="","",IF(K26&gt;=15,"Critical",IF(K26&gt;=10,"High",IF(K26&gt;=5,"Medium","Low"))))</f>
        <v/>
      </c>
      <c r="M26" s="2" t="n"/>
      <c r="N26" s="2" t="n"/>
      <c r="O26" s="3" t="n"/>
      <c r="P26" s="4" t="n"/>
      <c r="Q26" s="4" t="n"/>
      <c r="R26" s="8" t="n"/>
      <c r="S26" s="3" t="n"/>
      <c r="T26" s="3" t="n"/>
    </row>
  </sheetData>
  <autoFilter ref="A1:T1"/>
  <conditionalFormatting sqref="H2:H26">
    <cfRule type="cellIs" priority="1" operator="equal" dxfId="0" stopIfTrue="0">
      <formula>"Critical"</formula>
    </cfRule>
    <cfRule type="cellIs" priority="2" operator="equal" dxfId="1" stopIfTrue="0">
      <formula>"High"</formula>
    </cfRule>
    <cfRule type="cellIs" priority="3" operator="equal" dxfId="2" stopIfTrue="0">
      <formula>"Medium"</formula>
    </cfRule>
    <cfRule type="cellIs" priority="4" operator="equal" dxfId="3" stopIfTrue="0">
      <formula>"Low"</formula>
    </cfRule>
  </conditionalFormatting>
  <conditionalFormatting sqref="L2:L26">
    <cfRule type="cellIs" priority="5" operator="equal" dxfId="0" stopIfTrue="0">
      <formula>"Critical"</formula>
    </cfRule>
    <cfRule type="cellIs" priority="6" operator="equal" dxfId="1" stopIfTrue="0">
      <formula>"High"</formula>
    </cfRule>
    <cfRule type="cellIs" priority="7" operator="equal" dxfId="2" stopIfTrue="0">
      <formula>"Medium"</formula>
    </cfRule>
    <cfRule type="cellIs" priority="8" operator="equal" dxfId="3" stopIfTrue="0">
      <formula>"Low"</formula>
    </cfRule>
  </conditionalFormatting>
  <dataValidations count="5">
    <dataValidation sqref="E2:E26" showDropDown="0" showInputMessage="0" showErrorMessage="0" allowBlank="1" errorTitle="1 to 5 only" error="Enter a whole number between 1 and 5." type="whole" operator="between">
      <formula1>1</formula1>
      <formula2>5</formula2>
    </dataValidation>
    <dataValidation sqref="F2:F26" showDropDown="0" showInputMessage="0" showErrorMessage="0" allowBlank="1" errorTitle="1 to 5 only" error="Enter a whole number between 1 and 5." type="whole" operator="between">
      <formula1>1</formula1>
      <formula2>5</formula2>
    </dataValidation>
    <dataValidation sqref="J2:J26" showDropDown="0" showInputMessage="0" showErrorMessage="0" allowBlank="1" errorTitle="0% to 100%" error="Enter a percentage between 0% and 100%." type="decimal" operator="between">
      <formula1>0</formula1>
      <formula2>1</formula2>
    </dataValidation>
    <dataValidation sqref="N2:N26" showDropDown="0" showInputMessage="0" showErrorMessage="0" allowBlank="1" promptTitle="N" prompt="Accept, Mitigate, Transfer or Avoid" type="list">
      <formula1>"Accept,Mitigate,Transfer,Avoid"</formula1>
    </dataValidation>
    <dataValidation sqref="Q2:Q26" showDropDown="0" showInputMessage="0" showErrorMessage="0" allowBlank="1" promptTitle="Q" prompt="Open, In Progress, Monitoring or Closed" type="list">
      <formula1>"Open,In Progress,Monitoring,Closed"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6" customWidth="1" min="1" max="1"/>
    <col width="96" customWidth="1" min="2" max="2"/>
  </cols>
  <sheetData>
    <row r="1">
      <c r="A1" s="16" t="inlineStr">
        <is>
          <t>Risk Register — how to use it</t>
        </is>
      </c>
    </row>
    <row r="2">
      <c r="A2" s="17" t="inlineStr">
        <is>
          <t>First National Bank (Fictional). The five filled rows are the FAIR scenarios from this project; their ALE figures are read from the database, not typed in. Overwrite them with your own risks.</t>
        </is>
      </c>
    </row>
    <row r="4">
      <c r="A4" s="18" t="inlineStr">
        <is>
          <t>Column</t>
        </is>
      </c>
      <c r="B4" s="18" t="inlineStr">
        <is>
          <t>What goes in it</t>
        </is>
      </c>
    </row>
    <row r="5">
      <c r="A5" s="19" t="inlineStr">
        <is>
          <t>Risk ID</t>
        </is>
      </c>
      <c r="B5" s="3" t="inlineStr">
        <is>
          <t>Unique identifier, e.g. R-001. Never reuse an ID after a risk closes.</t>
        </is>
      </c>
    </row>
    <row r="6">
      <c r="A6" s="19" t="inlineStr">
        <is>
          <t>Risk Title</t>
        </is>
      </c>
      <c r="B6" s="3" t="inlineStr">
        <is>
          <t>One line naming the risk event, not the control gap.</t>
        </is>
      </c>
    </row>
    <row r="7">
      <c r="A7" s="19" t="inlineStr">
        <is>
          <t>Threat Source</t>
        </is>
      </c>
      <c r="B7" s="3" t="inlineStr">
        <is>
          <t>Who or what causes it: external attacker, insider, third party, process failure.</t>
        </is>
      </c>
    </row>
    <row r="8">
      <c r="A8" s="19" t="inlineStr">
        <is>
          <t>Asset / Process</t>
        </is>
      </c>
      <c r="B8" s="3" t="inlineStr">
        <is>
          <t>The business asset or process exposed. Ties the risk to something the business recognises.</t>
        </is>
      </c>
    </row>
    <row r="9">
      <c r="A9" s="19" t="inlineStr">
        <is>
          <t>Likelihood (1-5)</t>
        </is>
      </c>
      <c r="B9" s="3" t="inlineStr">
        <is>
          <t>How often you expect the event. 1 = rare (less than once in 5 years), 3 = annual, 5 = several times a year.</t>
        </is>
      </c>
    </row>
    <row r="10">
      <c r="A10" s="19" t="inlineStr">
        <is>
          <t>Impact (1-5)</t>
        </is>
      </c>
      <c r="B10" s="3" t="inlineStr">
        <is>
          <t>Worst plausible single-event loss. 1 = under $1M, 3 = $3-6M, 5 = over $10M.</t>
        </is>
      </c>
    </row>
    <row r="11">
      <c r="A11" s="19" t="inlineStr">
        <is>
          <t>Inherent Risk</t>
        </is>
      </c>
      <c r="B11" s="3" t="inlineStr">
        <is>
          <t>FORMULA: Likelihood x Impact, 1 to 25. Risk before controls. Do not overwrite.</t>
        </is>
      </c>
    </row>
    <row r="12">
      <c r="A12" s="19" t="inlineStr">
        <is>
          <t>Inherent Rating</t>
        </is>
      </c>
      <c r="B12" s="3" t="inlineStr">
        <is>
          <t>FORMULA: 15+ Critical, 10-14 High, 5-9 Medium, under 5 Low. Do not overwrite.</t>
        </is>
      </c>
    </row>
    <row r="13">
      <c r="A13" s="19" t="inlineStr">
        <is>
          <t>Existing Controls</t>
        </is>
      </c>
      <c r="B13" s="3" t="inlineStr">
        <is>
          <t>Controls already operating, not planned ones. Planned controls belong in the Treatment Plan.</t>
        </is>
      </c>
    </row>
    <row r="14">
      <c r="A14" s="19" t="inlineStr">
        <is>
          <t>Control Effectiveness (%)</t>
        </is>
      </c>
      <c r="B14" s="3" t="inlineStr">
        <is>
          <t>Share of the risk the existing controls remove. An assumption — justify it from control testing results where you have them.</t>
        </is>
      </c>
    </row>
    <row r="15">
      <c r="A15" s="19" t="inlineStr">
        <is>
          <t>Residual Risk</t>
        </is>
      </c>
      <c r="B15" s="3" t="inlineStr">
        <is>
          <t>FORMULA: Inherent Risk x (1 - Control Effectiveness). Risk remaining after controls. Do not overwrite.</t>
        </is>
      </c>
    </row>
    <row r="16">
      <c r="A16" s="19" t="inlineStr">
        <is>
          <t>Residual Rating</t>
        </is>
      </c>
      <c r="B16" s="3" t="inlineStr">
        <is>
          <t>FORMULA: same thresholds as Inherent Rating, applied to Residual Risk. This is the number that drives escalation. Note that a 60-80% effectiveness assumption pulls almost any inherent score below 5, so every example row rates Low residual. If that looks too comfortable, the effectiveness assumption is the number to challenge, not the formula.</t>
        </is>
      </c>
    </row>
    <row r="17">
      <c r="A17" s="19" t="inlineStr">
        <is>
          <t>Risk Owner</t>
        </is>
      </c>
      <c r="B17" s="3" t="inlineStr">
        <is>
          <t>A named accountable role. A risk without an owner does not get treated.</t>
        </is>
      </c>
    </row>
    <row r="18">
      <c r="A18" s="19" t="inlineStr">
        <is>
          <t>Treatment</t>
        </is>
      </c>
      <c r="B18" s="3" t="inlineStr">
        <is>
          <t>Accept, Mitigate, Transfer or Avoid. Accept requires sign-off at the level matching the residual rating.</t>
        </is>
      </c>
    </row>
    <row r="19">
      <c r="A19" s="19" t="inlineStr">
        <is>
          <t>Treatment Plan</t>
        </is>
      </c>
      <c r="B19" s="3" t="inlineStr">
        <is>
          <t>What will be done, by whom. Specific enough to track.</t>
        </is>
      </c>
    </row>
    <row r="20">
      <c r="A20" s="19" t="inlineStr">
        <is>
          <t>Target Date</t>
        </is>
      </c>
      <c r="B20" s="3" t="inlineStr">
        <is>
          <t>When the treatment completes. Blank means nobody is accountable for a date.</t>
        </is>
      </c>
    </row>
    <row r="21">
      <c r="A21" s="19" t="inlineStr">
        <is>
          <t>Status</t>
        </is>
      </c>
      <c r="B21" s="3" t="inlineStr">
        <is>
          <t>Open, In Progress, Monitoring or Closed.</t>
        </is>
      </c>
    </row>
    <row r="22">
      <c r="A22" s="19" t="inlineStr">
        <is>
          <t>ALE (FAIR, $)</t>
        </is>
      </c>
      <c r="B22" s="3" t="inlineStr">
        <is>
          <t>Annualised Loss Expectancy from the FAIR model, where one exists. Gives the board a dollar figure next to the 1-5 score.</t>
        </is>
      </c>
    </row>
    <row r="23">
      <c r="A23" s="19" t="inlineStr">
        <is>
          <t>NIST CSF 2.0 Ref</t>
        </is>
      </c>
      <c r="B23" s="3" t="inlineStr">
        <is>
          <t>The CSF 2.0 subcategory the treating controls map to, e.g. PR.AA-01.</t>
        </is>
      </c>
    </row>
    <row r="24">
      <c r="A24" s="19" t="inlineStr">
        <is>
          <t>OSFI Ref</t>
        </is>
      </c>
      <c r="B24" s="3" t="inlineStr">
        <is>
          <t>The OSFI guideline and topic the risk touches, e.g. B-13 Cyber Security.</t>
        </is>
      </c>
    </row>
    <row r="27">
      <c r="A27" s="16" t="inlineStr">
        <is>
          <t>Rating scale</t>
        </is>
      </c>
    </row>
    <row r="28">
      <c r="A28" s="20" t="inlineStr">
        <is>
          <t>Critical (15-25)</t>
        </is>
      </c>
      <c r="B28" s="21" t="inlineStr">
        <is>
          <t>Escalate to the Operational Risk Committee. Treatment plan required within 30 days.</t>
        </is>
      </c>
    </row>
    <row r="29">
      <c r="A29" s="22" t="inlineStr">
        <is>
          <t>High (10-14)</t>
        </is>
      </c>
      <c r="B29" s="21" t="inlineStr">
        <is>
          <t>Executive owner required. Treatment plan required within 90 days.</t>
        </is>
      </c>
    </row>
    <row r="30">
      <c r="A30" s="23" t="inlineStr">
        <is>
          <t>Medium (5-9)</t>
        </is>
      </c>
      <c r="B30" s="21" t="inlineStr">
        <is>
          <t>Managed within the business line. Reviewed quarterly.</t>
        </is>
      </c>
    </row>
    <row r="31">
      <c r="A31" s="24" t="inlineStr">
        <is>
          <t>Low (1-4)</t>
        </is>
      </c>
      <c r="B31" s="21" t="inlineStr">
        <is>
          <t>Accept and monitor. Reviewed annually.</t>
        </is>
      </c>
    </row>
  </sheetData>
  <mergeCells count="1">
    <mergeCell ref="A2:B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2026-09-21T06:05:51Z</dcterms:created>
  <dcterms:modified xsi:type="dcterms:W3CDTF">2026-09-21T06:05:51Z</dcterms:modified>
</cp:coreProperties>
</file>