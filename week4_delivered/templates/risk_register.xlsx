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isk Register" sheetId="2" state="visible" r:id="rId2"/>
  </sheets>
  <definedNames>
    <definedName name="_xlnm._FilterDatabase" localSheetId="1" hidden="1">'Risk Register'!$A$1:$T$26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14508C"/>
      <sz val="16"/>
    </font>
    <font>
      <i val="1"/>
      <color rgb="004A5163"/>
      <sz val="10"/>
    </font>
    <font>
      <b val="1"/>
      <color rgb="0014171F"/>
      <sz val="9.5"/>
    </font>
    <font>
      <color rgb="0014171F"/>
      <sz val="9.5"/>
    </font>
    <font>
      <b val="1"/>
      <color rgb="00FFFFFF"/>
      <sz val="10"/>
    </font>
    <font>
      <i val="1"/>
      <color rgb="003A4254"/>
      <sz val="9.5"/>
    </font>
  </fonts>
  <fills count="4">
    <fill>
      <patternFill/>
    </fill>
    <fill>
      <patternFill patternType="gray125"/>
    </fill>
    <fill>
      <patternFill patternType="solid">
        <fgColor rgb="0014508C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C9D0DC"/>
      </left>
      <right style="thin">
        <color rgb="00C9D0DC"/>
      </right>
      <top style="thin">
        <color rgb="00C9D0DC"/>
      </top>
      <bottom style="thin">
        <color rgb="00C9D0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/>
    </xf>
    <xf numFmtId="9" fontId="4" fillId="3" borderId="1" applyAlignment="1" pivotButton="0" quotePrefix="0" xfId="0">
      <alignment horizontal="left" vertical="top"/>
    </xf>
    <xf numFmtId="164" fontId="4" fillId="3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9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4">
    <dxf>
      <fill>
        <patternFill patternType="solid">
          <fgColor rgb="00F4C7C3"/>
        </patternFill>
      </fill>
    </dxf>
    <dxf>
      <fill>
        <patternFill patternType="solid">
          <fgColor rgb="00FBE2C7"/>
        </patternFill>
      </fill>
    </dxf>
    <dxf>
      <fill>
        <patternFill patternType="solid">
          <fgColor rgb="00FCF0C2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Cyber Risk Register</t>
        </is>
      </c>
    </row>
    <row r="2">
      <c r="A2" s="2" t="inlineStr">
        <is>
          <t>First National Bank (Fictional) — simulated data for portfolio demonstration</t>
        </is>
      </c>
    </row>
    <row r="4" ht="15" customHeight="1">
      <c r="A4" s="3" t="inlineStr"/>
      <c r="B4" s="4" t="inlineStr"/>
    </row>
    <row r="5" ht="26" customHeight="1">
      <c r="A5" s="3" t="inlineStr">
        <is>
          <t>How to use</t>
        </is>
      </c>
      <c r="B5" s="4" t="inlineStr">
        <is>
          <t>Add one row per risk on the Risk Register sheet. Grey columns calculate automatically — do not type over them.</t>
        </is>
      </c>
    </row>
    <row r="6" ht="15" customHeight="1">
      <c r="A6" s="3" t="inlineStr"/>
      <c r="B6" s="4" t="inlineStr"/>
    </row>
    <row r="7" ht="15" customHeight="1">
      <c r="A7" s="5" t="inlineStr">
        <is>
          <t>Column</t>
        </is>
      </c>
      <c r="B7" s="6" t="inlineStr">
        <is>
          <t>What it means</t>
        </is>
      </c>
    </row>
    <row r="8" ht="15" customHeight="1">
      <c r="A8" s="3" t="inlineStr">
        <is>
          <t>Risk ID</t>
        </is>
      </c>
      <c r="B8" s="4" t="inlineStr">
        <is>
          <t>Unique identifier, e.g. R-001. Keep it stable once issued.</t>
        </is>
      </c>
    </row>
    <row r="9" ht="15" customHeight="1">
      <c r="A9" s="3" t="inlineStr">
        <is>
          <t>Risk Title</t>
        </is>
      </c>
      <c r="B9" s="4" t="inlineStr">
        <is>
          <t>One line naming the risk event, not the control gap.</t>
        </is>
      </c>
    </row>
    <row r="10" ht="15" customHeight="1">
      <c r="A10" s="3" t="inlineStr">
        <is>
          <t>Threat Source</t>
        </is>
      </c>
      <c r="B10" s="4" t="inlineStr">
        <is>
          <t>Who or what causes it: external attacker, insider, vendor, system failure.</t>
        </is>
      </c>
    </row>
    <row r="11" ht="15" customHeight="1">
      <c r="A11" s="3" t="inlineStr">
        <is>
          <t>Asset / Process</t>
        </is>
      </c>
      <c r="B11" s="4" t="inlineStr">
        <is>
          <t>What is affected — the system, data set or business process.</t>
        </is>
      </c>
    </row>
    <row r="12" ht="15" customHeight="1">
      <c r="A12" s="3" t="inlineStr">
        <is>
          <t>Likelihood (1-5)</t>
        </is>
      </c>
      <c r="B12" s="4" t="inlineStr">
        <is>
          <t>1 Rare · 2 Unlikely · 3 Possible · 4 Likely · 5 Almost certain.</t>
        </is>
      </c>
    </row>
    <row r="13" ht="15" customHeight="1">
      <c r="A13" s="3" t="inlineStr">
        <is>
          <t>Impact (1-5)</t>
        </is>
      </c>
      <c r="B13" s="4" t="inlineStr">
        <is>
          <t>1 Negligible · 2 Minor · 3 Moderate · 4 Major · 5 Severe.</t>
        </is>
      </c>
    </row>
    <row r="14" ht="15" customHeight="1">
      <c r="A14" s="3" t="inlineStr">
        <is>
          <t>Inherent Risk</t>
        </is>
      </c>
      <c r="B14" s="4" t="inlineStr">
        <is>
          <t>CALCULATED: Likelihood × Impact, before controls.</t>
        </is>
      </c>
    </row>
    <row r="15" ht="15" customHeight="1">
      <c r="A15" s="3" t="inlineStr">
        <is>
          <t>Inherent Rating</t>
        </is>
      </c>
      <c r="B15" s="4" t="inlineStr">
        <is>
          <t>CALCULATED: 15+ Critical · 10-14 High · 5-9 Medium · below 5 Low.</t>
        </is>
      </c>
    </row>
    <row r="16" ht="15" customHeight="1">
      <c r="A16" s="3" t="inlineStr">
        <is>
          <t>Existing Controls</t>
        </is>
      </c>
      <c r="B16" s="4" t="inlineStr">
        <is>
          <t>Controls already operating against this risk.</t>
        </is>
      </c>
    </row>
    <row r="17" ht="26" customHeight="1">
      <c r="A17" s="3" t="inlineStr">
        <is>
          <t>Control Effectiveness %</t>
        </is>
      </c>
      <c r="B17" s="4" t="inlineStr">
        <is>
          <t>How much of the risk those controls remove. Evidence-based where possible; state the basis in Treatment Plan if assumed.</t>
        </is>
      </c>
    </row>
    <row r="18" ht="15" customHeight="1">
      <c r="A18" s="3" t="inlineStr">
        <is>
          <t>Residual Risk</t>
        </is>
      </c>
      <c r="B18" s="4" t="inlineStr">
        <is>
          <t>CALCULATED: Inherent Risk × (1 − Control Effectiveness).</t>
        </is>
      </c>
    </row>
    <row r="19" ht="15" customHeight="1">
      <c r="A19" s="3" t="inlineStr">
        <is>
          <t>Residual Rating</t>
        </is>
      </c>
      <c r="B19" s="4" t="inlineStr">
        <is>
          <t>CALCULATED on the same bands as Inherent Rating.</t>
        </is>
      </c>
    </row>
    <row r="20" ht="15" customHeight="1">
      <c r="A20" s="3" t="inlineStr">
        <is>
          <t>Risk Owner</t>
        </is>
      </c>
      <c r="B20" s="4" t="inlineStr">
        <is>
          <t>The named accountable person. Not a team.</t>
        </is>
      </c>
    </row>
    <row r="21" ht="15" customHeight="1">
      <c r="A21" s="3" t="inlineStr">
        <is>
          <t>Treatment</t>
        </is>
      </c>
      <c r="B21" s="4" t="inlineStr">
        <is>
          <t>Accept · Mitigate · Transfer · Avoid.</t>
        </is>
      </c>
    </row>
    <row r="22" ht="15" customHeight="1">
      <c r="A22" s="3" t="inlineStr">
        <is>
          <t>Treatment Plan</t>
        </is>
      </c>
      <c r="B22" s="4" t="inlineStr">
        <is>
          <t>What will be done, by whom. Specific enough to track.</t>
        </is>
      </c>
    </row>
    <row r="23" ht="15" customHeight="1">
      <c r="A23" s="3" t="inlineStr">
        <is>
          <t>Target Date</t>
        </is>
      </c>
      <c r="B23" s="4" t="inlineStr">
        <is>
          <t>When the treatment completes.</t>
        </is>
      </c>
    </row>
    <row r="24" ht="15" customHeight="1">
      <c r="A24" s="3" t="inlineStr">
        <is>
          <t>Status</t>
        </is>
      </c>
      <c r="B24" s="4" t="inlineStr">
        <is>
          <t>Open · In Progress · Monitoring · Closed.</t>
        </is>
      </c>
    </row>
    <row r="25" ht="26" customHeight="1">
      <c r="A25" s="3" t="inlineStr">
        <is>
          <t>ALE (FAIR, $)</t>
        </is>
      </c>
      <c r="B25" s="4" t="inlineStr">
        <is>
          <t>Annualised loss expectancy from the quantitative risk engine, where the risk has been modelled.</t>
        </is>
      </c>
    </row>
    <row r="26" ht="15" customHeight="1">
      <c r="A26" s="3" t="inlineStr">
        <is>
          <t>NIST CSF 2.0 Ref</t>
        </is>
      </c>
      <c r="B26" s="4" t="inlineStr">
        <is>
          <t>Relevant CSF 2.0 subcategory, e.g. GV.PO-01.</t>
        </is>
      </c>
    </row>
    <row r="27" ht="15" customHeight="1">
      <c r="A27" s="3" t="inlineStr">
        <is>
          <t>OSFI Ref</t>
        </is>
      </c>
      <c r="B27" s="4" t="inlineStr">
        <is>
          <t>Relevant OSFI guideline: B-10, B-13 or E-21.</t>
        </is>
      </c>
    </row>
    <row r="28" ht="15" customHeight="1">
      <c r="A28" s="3" t="inlineStr"/>
      <c r="B28" s="4" t="inlineStr"/>
    </row>
    <row r="29" ht="15" customHeight="1">
      <c r="A29" s="3" t="inlineStr">
        <is>
          <t>Rating bands</t>
        </is>
      </c>
      <c r="B29" s="4" t="inlineStr">
        <is>
          <t>Critical 15-25 · High 10-14 · Medium 5-9 · Low 1-4</t>
        </is>
      </c>
    </row>
    <row r="30" ht="26" customHeight="1">
      <c r="A30" s="3" t="inlineStr">
        <is>
          <t>Note on the examples</t>
        </is>
      </c>
      <c r="B30" s="4" t="inlineStr">
        <is>
          <t>The five pre-filled rows are the modelled FAIR scenarios. Their ALE figures come from the quantitative risk engine. Replace or extend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22" customWidth="1" min="4" max="4"/>
    <col width="12" customWidth="1" min="5" max="5"/>
    <col width="11" customWidth="1" min="6" max="6"/>
    <col width="11" customWidth="1" min="7" max="7"/>
    <col width="13" customWidth="1" min="8" max="8"/>
    <col width="34" customWidth="1" min="9" max="9"/>
    <col width="13" customWidth="1" min="10" max="10"/>
    <col width="11" customWidth="1" min="11" max="11"/>
    <col width="13" customWidth="1" min="12" max="12"/>
    <col width="16" customWidth="1" min="13" max="13"/>
    <col width="13" customWidth="1" min="14" max="14"/>
    <col width="38" customWidth="1" min="15" max="15"/>
    <col width="12" customWidth="1" min="16" max="16"/>
    <col width="13" customWidth="1" min="17" max="17"/>
    <col width="14" customWidth="1" min="18" max="18"/>
    <col width="16" customWidth="1" min="19" max="19"/>
    <col width="30" customWidth="1" min="20" max="20"/>
  </cols>
  <sheetData>
    <row r="1" ht="34" customHeight="1">
      <c r="A1" s="7" t="inlineStr">
        <is>
          <t>Risk ID</t>
        </is>
      </c>
      <c r="B1" s="7" t="inlineStr">
        <is>
          <t>Risk Title</t>
        </is>
      </c>
      <c r="C1" s="7" t="inlineStr">
        <is>
          <t>Threat Source</t>
        </is>
      </c>
      <c r="D1" s="7" t="inlineStr">
        <is>
          <t>Asset / Process</t>
        </is>
      </c>
      <c r="E1" s="7" t="inlineStr">
        <is>
          <t>Likelihood (1-5)</t>
        </is>
      </c>
      <c r="F1" s="7" t="inlineStr">
        <is>
          <t>Impact (1-5)</t>
        </is>
      </c>
      <c r="G1" s="7" t="inlineStr">
        <is>
          <t>Inherent Risk</t>
        </is>
      </c>
      <c r="H1" s="7" t="inlineStr">
        <is>
          <t>Inherent Rating</t>
        </is>
      </c>
      <c r="I1" s="7" t="inlineStr">
        <is>
          <t>Existing Controls</t>
        </is>
      </c>
      <c r="J1" s="7" t="inlineStr">
        <is>
          <t>Control Effectiveness %</t>
        </is>
      </c>
      <c r="K1" s="7" t="inlineStr">
        <is>
          <t>Residual Risk</t>
        </is>
      </c>
      <c r="L1" s="7" t="inlineStr">
        <is>
          <t>Residual Rating</t>
        </is>
      </c>
      <c r="M1" s="7" t="inlineStr">
        <is>
          <t>Risk Owner</t>
        </is>
      </c>
      <c r="N1" s="7" t="inlineStr">
        <is>
          <t>Treatment</t>
        </is>
      </c>
      <c r="O1" s="7" t="inlineStr">
        <is>
          <t>Treatment Plan</t>
        </is>
      </c>
      <c r="P1" s="7" t="inlineStr">
        <is>
          <t>Target Date</t>
        </is>
      </c>
      <c r="Q1" s="7" t="inlineStr">
        <is>
          <t>Status</t>
        </is>
      </c>
      <c r="R1" s="7" t="inlineStr">
        <is>
          <t>ALE (FAIR, $)</t>
        </is>
      </c>
      <c r="S1" s="7" t="inlineStr">
        <is>
          <t>NIST CSF 2.0 Ref</t>
        </is>
      </c>
      <c r="T1" s="7" t="inlineStr">
        <is>
          <t>OSFI Ref</t>
        </is>
      </c>
    </row>
    <row r="2">
      <c r="A2" s="8" t="inlineStr">
        <is>
          <t>R-001</t>
        </is>
      </c>
      <c r="B2" s="9" t="inlineStr">
        <is>
          <t>Ransomware Attack</t>
        </is>
      </c>
      <c r="C2" s="8" t="inlineStr">
        <is>
          <t>External attacker</t>
        </is>
      </c>
      <c r="D2" s="8" t="inlineStr">
        <is>
          <t>Core banking platform</t>
        </is>
      </c>
      <c r="E2" s="10" t="n">
        <v>4</v>
      </c>
      <c r="F2" s="10" t="n">
        <v>5</v>
      </c>
      <c r="G2" s="11">
        <f>E2*F2</f>
        <v/>
      </c>
      <c r="H2" s="12">
        <f>IF(G2="","",IF(G2&gt;=15,"Critical",IF(G2&gt;=10,"High",IF(G2&gt;=5,"Medium","Low"))))</f>
        <v/>
      </c>
      <c r="I2" s="9" t="inlineStr">
        <is>
          <t>Immutable offline backups with quarterly restore testing; Network segmentation limiting lateral movement; Endpoint detection and response deployed fleet-wide; Ransomware-specific incident response playbook</t>
        </is>
      </c>
      <c r="J2" s="13" t="n">
        <v>0.75</v>
      </c>
      <c r="K2" s="11">
        <f>ROUND(G2*(1-J2),1)</f>
        <v/>
      </c>
      <c r="L2" s="12">
        <f>IF(K2="","",IF(K2&gt;=15,"Critical",IF(K2&gt;=10,"High",IF(K2&gt;=5,"Medium","Low"))))</f>
        <v/>
      </c>
      <c r="M2" s="8" t="inlineStr">
        <is>
          <t>CISO</t>
        </is>
      </c>
      <c r="N2" s="8" t="inlineStr">
        <is>
          <t>Mitigate</t>
        </is>
      </c>
      <c r="O2" s="9" t="inlineStr">
        <is>
          <t>Implement recommended controls (annual cost $500,000).</t>
        </is>
      </c>
      <c r="P2" s="8" t="inlineStr">
        <is>
          <t>2027-03-31</t>
        </is>
      </c>
      <c r="Q2" s="8" t="inlineStr">
        <is>
          <t>Open</t>
        </is>
      </c>
      <c r="R2" s="14" t="n">
        <v>5448306</v>
      </c>
      <c r="S2" s="8" t="inlineStr">
        <is>
          <t>PR.AA-03, DE.CM-01, RC.RP-01</t>
        </is>
      </c>
      <c r="T2" s="9" t="inlineStr">
        <is>
          <t>OSFI E-21 Operational Resilience; B-13 Technology Operations and Resilience</t>
        </is>
      </c>
    </row>
    <row r="3">
      <c r="A3" s="15" t="inlineStr">
        <is>
          <t>R-002</t>
        </is>
      </c>
      <c r="B3" s="16" t="inlineStr">
        <is>
          <t>Data Breach — Customer PII</t>
        </is>
      </c>
      <c r="C3" s="15" t="inlineStr">
        <is>
          <t>External attacker</t>
        </is>
      </c>
      <c r="D3" s="15" t="inlineStr">
        <is>
          <t>Customer PII datastore</t>
        </is>
      </c>
      <c r="E3" s="17" t="n">
        <v>4</v>
      </c>
      <c r="F3" s="17" t="n">
        <v>5</v>
      </c>
      <c r="G3" s="18">
        <f>E3*F3</f>
        <v/>
      </c>
      <c r="H3" s="19">
        <f>IF(G3="","",IF(G3&gt;=15,"Critical",IF(G3&gt;=10,"High",IF(G3&gt;=5,"Medium","Low"))))</f>
        <v/>
      </c>
      <c r="I3" s="16" t="inlineStr">
        <is>
          <t>Data loss prevention tooling across email and endpoint; AES-256 encryption at rest and TLS 1.2+ in transit for all PII; Privileged access management with session recording; Documented OSFI 24-hour breach notification procedure</t>
        </is>
      </c>
      <c r="J3" s="20" t="n">
        <v>0.7</v>
      </c>
      <c r="K3" s="18">
        <f>ROUND(G3*(1-J3),1)</f>
        <v/>
      </c>
      <c r="L3" s="19">
        <f>IF(K3="","",IF(K3&gt;=15,"Critical",IF(K3&gt;=10,"High",IF(K3&gt;=5,"Medium","Low"))))</f>
        <v/>
      </c>
      <c r="M3" s="15" t="inlineStr">
        <is>
          <t>CISO</t>
        </is>
      </c>
      <c r="N3" s="15" t="inlineStr">
        <is>
          <t>Mitigate</t>
        </is>
      </c>
      <c r="O3" s="16" t="inlineStr">
        <is>
          <t>Implement recommended controls (annual cost $350,000).</t>
        </is>
      </c>
      <c r="P3" s="15" t="inlineStr">
        <is>
          <t>2027-03-31</t>
        </is>
      </c>
      <c r="Q3" s="15" t="inlineStr">
        <is>
          <t>Open</t>
        </is>
      </c>
      <c r="R3" s="21" t="n">
        <v>4991621</v>
      </c>
      <c r="S3" s="15" t="inlineStr">
        <is>
          <t>PR.DS-01, DE.CM-01, RS.MA-01</t>
        </is>
      </c>
      <c r="T3" s="16" t="inlineStr">
        <is>
          <t>OSFI Technology and Cyber Security Incident Reporting Advisory (24-hour notification)</t>
        </is>
      </c>
    </row>
    <row r="4">
      <c r="A4" s="8" t="inlineStr">
        <is>
          <t>R-003</t>
        </is>
      </c>
      <c r="B4" s="9" t="inlineStr">
        <is>
          <t>Cloud Misconfiguration — Data Exposure</t>
        </is>
      </c>
      <c r="C4" s="8" t="inlineStr">
        <is>
          <t>Internal misconfiguration</t>
        </is>
      </c>
      <c r="D4" s="8" t="inlineStr">
        <is>
          <t>Cloud storage and IAM</t>
        </is>
      </c>
      <c r="E4" s="10" t="n">
        <v>5</v>
      </c>
      <c r="F4" s="10" t="n">
        <v>4</v>
      </c>
      <c r="G4" s="11">
        <f>E4*F4</f>
        <v/>
      </c>
      <c r="H4" s="12">
        <f>IF(G4="","",IF(G4&gt;=15,"Critical",IF(G4&gt;=10,"High",IF(G4&gt;=5,"Medium","Low"))))</f>
        <v/>
      </c>
      <c r="I4" s="9" t="inlineStr">
        <is>
          <t>Cloud security posture management with continuous scanning; Infrastructure-as-code security scanning in the CI/CD pipeline; Policy-enforced prohibition on public storage buckets; Automated secret detection across all repositories</t>
        </is>
      </c>
      <c r="J4" s="13" t="n">
        <v>0.8</v>
      </c>
      <c r="K4" s="11">
        <f>ROUND(G4*(1-J4),1)</f>
        <v/>
      </c>
      <c r="L4" s="12">
        <f>IF(K4="","",IF(K4&gt;=15,"Critical",IF(K4&gt;=10,"High",IF(K4&gt;=5,"Medium","Low"))))</f>
        <v/>
      </c>
      <c r="M4" s="8" t="inlineStr">
        <is>
          <t>CISO</t>
        </is>
      </c>
      <c r="N4" s="8" t="inlineStr">
        <is>
          <t>Mitigate</t>
        </is>
      </c>
      <c r="O4" s="9" t="inlineStr">
        <is>
          <t>Implement recommended controls (annual cost $180,000).</t>
        </is>
      </c>
      <c r="P4" s="8" t="inlineStr">
        <is>
          <t>2027-03-31</t>
        </is>
      </c>
      <c r="Q4" s="8" t="inlineStr">
        <is>
          <t>Open</t>
        </is>
      </c>
      <c r="R4" s="14" t="n">
        <v>4462175</v>
      </c>
      <c r="S4" s="8" t="inlineStr">
        <is>
          <t>PR.DS-01, ID.AM-01, DE.CM-01</t>
        </is>
      </c>
      <c r="T4" s="9" t="inlineStr">
        <is>
          <t>OSFI B-13 Technology Operations and Resilience (cloud risk)</t>
        </is>
      </c>
    </row>
    <row r="5">
      <c r="A5" s="15" t="inlineStr">
        <is>
          <t>R-004</t>
        </is>
      </c>
      <c r="B5" s="16" t="inlineStr">
        <is>
          <t>Third-Party Vendor Security Failure</t>
        </is>
      </c>
      <c r="C5" s="15" t="inlineStr">
        <is>
          <t>Third-party provider</t>
        </is>
      </c>
      <c r="D5" s="15" t="inlineStr">
        <is>
          <t>Critical vendor services</t>
        </is>
      </c>
      <c r="E5" s="17" t="n">
        <v>3</v>
      </c>
      <c r="F5" s="17" t="n">
        <v>4</v>
      </c>
      <c r="G5" s="18">
        <f>E5*F5</f>
        <v/>
      </c>
      <c r="H5" s="19">
        <f>IF(G5="","",IF(G5&gt;=15,"Critical",IF(G5&gt;=10,"High",IF(G5&gt;=5,"Medium","Low"))))</f>
        <v/>
      </c>
      <c r="I5" s="16" t="inlineStr">
        <is>
          <t>Risk-tiered vendor security questionnaires before onboarding; Contractual security requirements including 24-hour breach notification; Continuous monitoring with tier-based reassessment cycles; Documented exit strategy for every critical vendor</t>
        </is>
      </c>
      <c r="J5" s="20" t="n">
        <v>0.65</v>
      </c>
      <c r="K5" s="18">
        <f>ROUND(G5*(1-J5),1)</f>
        <v/>
      </c>
      <c r="L5" s="19">
        <f>IF(K5="","",IF(K5&gt;=15,"Critical",IF(K5&gt;=10,"High",IF(K5&gt;=5,"Medium","Low"))))</f>
        <v/>
      </c>
      <c r="M5" s="15" t="inlineStr">
        <is>
          <t>CISO</t>
        </is>
      </c>
      <c r="N5" s="15" t="inlineStr">
        <is>
          <t>Mitigate</t>
        </is>
      </c>
      <c r="O5" s="16" t="inlineStr">
        <is>
          <t>Implement recommended controls (annual cost $200,000).</t>
        </is>
      </c>
      <c r="P5" s="15" t="inlineStr">
        <is>
          <t>2027-03-31</t>
        </is>
      </c>
      <c r="Q5" s="15" t="inlineStr">
        <is>
          <t>Open</t>
        </is>
      </c>
      <c r="R5" s="21" t="n">
        <v>2677779</v>
      </c>
      <c r="S5" s="15" t="inlineStr">
        <is>
          <t>GV.SC-01, ID.RA-01, RS.CO-02</t>
        </is>
      </c>
      <c r="T5" s="16" t="inlineStr">
        <is>
          <t>OSFI B-10 Third-Party Risk Management</t>
        </is>
      </c>
    </row>
    <row r="6">
      <c r="A6" s="8" t="inlineStr">
        <is>
          <t>R-005</t>
        </is>
      </c>
      <c r="B6" s="9" t="inlineStr">
        <is>
          <t>Insider Threat — Privileged Access Abuse</t>
        </is>
      </c>
      <c r="C6" s="8" t="inlineStr">
        <is>
          <t>Malicious or negligent insider</t>
        </is>
      </c>
      <c r="D6" s="8" t="inlineStr">
        <is>
          <t>Privileged access to customer records</t>
        </is>
      </c>
      <c r="E6" s="10" t="n">
        <v>3</v>
      </c>
      <c r="F6" s="10" t="n">
        <v>4</v>
      </c>
      <c r="G6" s="11">
        <f>E6*F6</f>
        <v/>
      </c>
      <c r="H6" s="12">
        <f>IF(G6="","",IF(G6&gt;=15,"Critical",IF(G6&gt;=10,"High",IF(G6&gt;=5,"Medium","Low"))))</f>
        <v/>
      </c>
      <c r="I6" s="9" t="inlineStr">
        <is>
          <t>User and entity behaviour analytics on privileged accounts; Least-privilege access with quarterly recertification; Separation of duties on high-value transactions; Same-day access revocation on offboarding</t>
        </is>
      </c>
      <c r="J6" s="13" t="n">
        <v>0.6</v>
      </c>
      <c r="K6" s="11">
        <f>ROUND(G6*(1-J6),1)</f>
        <v/>
      </c>
      <c r="L6" s="12">
        <f>IF(K6="","",IF(K6&gt;=15,"Critical",IF(K6&gt;=10,"High",IF(K6&gt;=5,"Medium","Low"))))</f>
        <v/>
      </c>
      <c r="M6" s="8" t="inlineStr">
        <is>
          <t>CISO</t>
        </is>
      </c>
      <c r="N6" s="8" t="inlineStr">
        <is>
          <t>Mitigate</t>
        </is>
      </c>
      <c r="O6" s="9" t="inlineStr">
        <is>
          <t>Implement recommended controls (annual cost $280,000).</t>
        </is>
      </c>
      <c r="P6" s="8" t="inlineStr">
        <is>
          <t>2027-03-31</t>
        </is>
      </c>
      <c r="Q6" s="8" t="inlineStr">
        <is>
          <t>Open</t>
        </is>
      </c>
      <c r="R6" s="14" t="n">
        <v>2034581</v>
      </c>
      <c r="S6" s="8" t="inlineStr">
        <is>
          <t>PR.AA-01, DE.AE-02, RS.MA-01</t>
        </is>
      </c>
      <c r="T6" s="9" t="inlineStr">
        <is>
          <t>OSFI B-13 Cyber Security (access management)</t>
        </is>
      </c>
    </row>
    <row r="7">
      <c r="A7" s="15" t="n"/>
      <c r="B7" s="16" t="n"/>
      <c r="C7" s="15" t="n"/>
      <c r="D7" s="15" t="n"/>
      <c r="E7" s="17" t="n"/>
      <c r="F7" s="17" t="n"/>
      <c r="G7" s="18">
        <f>IF(COUNT(E7:F7)=2,E7*F7,"")</f>
        <v/>
      </c>
      <c r="H7" s="19">
        <f>IF(G7="","",IF(G7&gt;=15,"Critical",IF(G7&gt;=10,"High",IF(G7&gt;=5,"Medium","Low"))))</f>
        <v/>
      </c>
      <c r="I7" s="16" t="n"/>
      <c r="J7" s="20" t="n"/>
      <c r="K7" s="18">
        <f>IF(OR(G7="",J7=""),"",ROUND(G7*(1-J7),1))</f>
        <v/>
      </c>
      <c r="L7" s="19">
        <f>IF(K7="","",IF(K7&gt;=15,"Critical",IF(K7&gt;=10,"High",IF(K7&gt;=5,"Medium","Low"))))</f>
        <v/>
      </c>
      <c r="M7" s="15" t="n"/>
      <c r="N7" s="15" t="n"/>
      <c r="O7" s="16" t="n"/>
      <c r="P7" s="15" t="n"/>
      <c r="Q7" s="15" t="n"/>
      <c r="R7" s="21" t="n"/>
      <c r="S7" s="15" t="n"/>
      <c r="T7" s="16" t="n"/>
    </row>
    <row r="8">
      <c r="A8" s="8" t="n"/>
      <c r="B8" s="9" t="n"/>
      <c r="C8" s="8" t="n"/>
      <c r="D8" s="8" t="n"/>
      <c r="E8" s="10" t="n"/>
      <c r="F8" s="10" t="n"/>
      <c r="G8" s="11">
        <f>IF(COUNT(E8:F8)=2,E8*F8,"")</f>
        <v/>
      </c>
      <c r="H8" s="12">
        <f>IF(G8="","",IF(G8&gt;=15,"Critical",IF(G8&gt;=10,"High",IF(G8&gt;=5,"Medium","Low"))))</f>
        <v/>
      </c>
      <c r="I8" s="9" t="n"/>
      <c r="J8" s="13" t="n"/>
      <c r="K8" s="11">
        <f>IF(OR(G8="",J8=""),"",ROUND(G8*(1-J8),1))</f>
        <v/>
      </c>
      <c r="L8" s="12">
        <f>IF(K8="","",IF(K8&gt;=15,"Critical",IF(K8&gt;=10,"High",IF(K8&gt;=5,"Medium","Low"))))</f>
        <v/>
      </c>
      <c r="M8" s="8" t="n"/>
      <c r="N8" s="8" t="n"/>
      <c r="O8" s="9" t="n"/>
      <c r="P8" s="8" t="n"/>
      <c r="Q8" s="8" t="n"/>
      <c r="R8" s="14" t="n"/>
      <c r="S8" s="8" t="n"/>
      <c r="T8" s="9" t="n"/>
    </row>
    <row r="9">
      <c r="A9" s="15" t="n"/>
      <c r="B9" s="16" t="n"/>
      <c r="C9" s="15" t="n"/>
      <c r="D9" s="15" t="n"/>
      <c r="E9" s="17" t="n"/>
      <c r="F9" s="17" t="n"/>
      <c r="G9" s="18">
        <f>IF(COUNT(E9:F9)=2,E9*F9,"")</f>
        <v/>
      </c>
      <c r="H9" s="19">
        <f>IF(G9="","",IF(G9&gt;=15,"Critical",IF(G9&gt;=10,"High",IF(G9&gt;=5,"Medium","Low"))))</f>
        <v/>
      </c>
      <c r="I9" s="16" t="n"/>
      <c r="J9" s="20" t="n"/>
      <c r="K9" s="18">
        <f>IF(OR(G9="",J9=""),"",ROUND(G9*(1-J9),1))</f>
        <v/>
      </c>
      <c r="L9" s="19">
        <f>IF(K9="","",IF(K9&gt;=15,"Critical",IF(K9&gt;=10,"High",IF(K9&gt;=5,"Medium","Low"))))</f>
        <v/>
      </c>
      <c r="M9" s="15" t="n"/>
      <c r="N9" s="15" t="n"/>
      <c r="O9" s="16" t="n"/>
      <c r="P9" s="15" t="n"/>
      <c r="Q9" s="15" t="n"/>
      <c r="R9" s="21" t="n"/>
      <c r="S9" s="15" t="n"/>
      <c r="T9" s="16" t="n"/>
    </row>
    <row r="10">
      <c r="A10" s="8" t="n"/>
      <c r="B10" s="9" t="n"/>
      <c r="C10" s="8" t="n"/>
      <c r="D10" s="8" t="n"/>
      <c r="E10" s="10" t="n"/>
      <c r="F10" s="10" t="n"/>
      <c r="G10" s="11">
        <f>IF(COUNT(E10:F10)=2,E10*F10,"")</f>
        <v/>
      </c>
      <c r="H10" s="12">
        <f>IF(G10="","",IF(G10&gt;=15,"Critical",IF(G10&gt;=10,"High",IF(G10&gt;=5,"Medium","Low"))))</f>
        <v/>
      </c>
      <c r="I10" s="9" t="n"/>
      <c r="J10" s="13" t="n"/>
      <c r="K10" s="11">
        <f>IF(OR(G10="",J10=""),"",ROUND(G10*(1-J10),1))</f>
        <v/>
      </c>
      <c r="L10" s="12">
        <f>IF(K10="","",IF(K10&gt;=15,"Critical",IF(K10&gt;=10,"High",IF(K10&gt;=5,"Medium","Low"))))</f>
        <v/>
      </c>
      <c r="M10" s="8" t="n"/>
      <c r="N10" s="8" t="n"/>
      <c r="O10" s="9" t="n"/>
      <c r="P10" s="8" t="n"/>
      <c r="Q10" s="8" t="n"/>
      <c r="R10" s="14" t="n"/>
      <c r="S10" s="8" t="n"/>
      <c r="T10" s="9" t="n"/>
    </row>
    <row r="11">
      <c r="A11" s="15" t="n"/>
      <c r="B11" s="16" t="n"/>
      <c r="C11" s="15" t="n"/>
      <c r="D11" s="15" t="n"/>
      <c r="E11" s="17" t="n"/>
      <c r="F11" s="17" t="n"/>
      <c r="G11" s="18">
        <f>IF(COUNT(E11:F11)=2,E11*F11,"")</f>
        <v/>
      </c>
      <c r="H11" s="19">
        <f>IF(G11="","",IF(G11&gt;=15,"Critical",IF(G11&gt;=10,"High",IF(G11&gt;=5,"Medium","Low"))))</f>
        <v/>
      </c>
      <c r="I11" s="16" t="n"/>
      <c r="J11" s="20" t="n"/>
      <c r="K11" s="18">
        <f>IF(OR(G11="",J11=""),"",ROUND(G11*(1-J11),1))</f>
        <v/>
      </c>
      <c r="L11" s="19">
        <f>IF(K11="","",IF(K11&gt;=15,"Critical",IF(K11&gt;=10,"High",IF(K11&gt;=5,"Medium","Low"))))</f>
        <v/>
      </c>
      <c r="M11" s="15" t="n"/>
      <c r="N11" s="15" t="n"/>
      <c r="O11" s="16" t="n"/>
      <c r="P11" s="15" t="n"/>
      <c r="Q11" s="15" t="n"/>
      <c r="R11" s="21" t="n"/>
      <c r="S11" s="15" t="n"/>
      <c r="T11" s="16" t="n"/>
    </row>
    <row r="12">
      <c r="A12" s="8" t="n"/>
      <c r="B12" s="9" t="n"/>
      <c r="C12" s="8" t="n"/>
      <c r="D12" s="8" t="n"/>
      <c r="E12" s="10" t="n"/>
      <c r="F12" s="10" t="n"/>
      <c r="G12" s="11">
        <f>IF(COUNT(E12:F12)=2,E12*F12,"")</f>
        <v/>
      </c>
      <c r="H12" s="12">
        <f>IF(G12="","",IF(G12&gt;=15,"Critical",IF(G12&gt;=10,"High",IF(G12&gt;=5,"Medium","Low"))))</f>
        <v/>
      </c>
      <c r="I12" s="9" t="n"/>
      <c r="J12" s="13" t="n"/>
      <c r="K12" s="11">
        <f>IF(OR(G12="",J12=""),"",ROUND(G12*(1-J12),1))</f>
        <v/>
      </c>
      <c r="L12" s="12">
        <f>IF(K12="","",IF(K12&gt;=15,"Critical",IF(K12&gt;=10,"High",IF(K12&gt;=5,"Medium","Low"))))</f>
        <v/>
      </c>
      <c r="M12" s="8" t="n"/>
      <c r="N12" s="8" t="n"/>
      <c r="O12" s="9" t="n"/>
      <c r="P12" s="8" t="n"/>
      <c r="Q12" s="8" t="n"/>
      <c r="R12" s="14" t="n"/>
      <c r="S12" s="8" t="n"/>
      <c r="T12" s="9" t="n"/>
    </row>
    <row r="13">
      <c r="A13" s="15" t="n"/>
      <c r="B13" s="16" t="n"/>
      <c r="C13" s="15" t="n"/>
      <c r="D13" s="15" t="n"/>
      <c r="E13" s="17" t="n"/>
      <c r="F13" s="17" t="n"/>
      <c r="G13" s="18">
        <f>IF(COUNT(E13:F13)=2,E13*F13,"")</f>
        <v/>
      </c>
      <c r="H13" s="19">
        <f>IF(G13="","",IF(G13&gt;=15,"Critical",IF(G13&gt;=10,"High",IF(G13&gt;=5,"Medium","Low"))))</f>
        <v/>
      </c>
      <c r="I13" s="16" t="n"/>
      <c r="J13" s="20" t="n"/>
      <c r="K13" s="18">
        <f>IF(OR(G13="",J13=""),"",ROUND(G13*(1-J13),1))</f>
        <v/>
      </c>
      <c r="L13" s="19">
        <f>IF(K13="","",IF(K13&gt;=15,"Critical",IF(K13&gt;=10,"High",IF(K13&gt;=5,"Medium","Low"))))</f>
        <v/>
      </c>
      <c r="M13" s="15" t="n"/>
      <c r="N13" s="15" t="n"/>
      <c r="O13" s="16" t="n"/>
      <c r="P13" s="15" t="n"/>
      <c r="Q13" s="15" t="n"/>
      <c r="R13" s="21" t="n"/>
      <c r="S13" s="15" t="n"/>
      <c r="T13" s="16" t="n"/>
    </row>
    <row r="14">
      <c r="A14" s="8" t="n"/>
      <c r="B14" s="9" t="n"/>
      <c r="C14" s="8" t="n"/>
      <c r="D14" s="8" t="n"/>
      <c r="E14" s="10" t="n"/>
      <c r="F14" s="10" t="n"/>
      <c r="G14" s="11">
        <f>IF(COUNT(E14:F14)=2,E14*F14,"")</f>
        <v/>
      </c>
      <c r="H14" s="12">
        <f>IF(G14="","",IF(G14&gt;=15,"Critical",IF(G14&gt;=10,"High",IF(G14&gt;=5,"Medium","Low"))))</f>
        <v/>
      </c>
      <c r="I14" s="9" t="n"/>
      <c r="J14" s="13" t="n"/>
      <c r="K14" s="11">
        <f>IF(OR(G14="",J14=""),"",ROUND(G14*(1-J14),1))</f>
        <v/>
      </c>
      <c r="L14" s="12">
        <f>IF(K14="","",IF(K14&gt;=15,"Critical",IF(K14&gt;=10,"High",IF(K14&gt;=5,"Medium","Low"))))</f>
        <v/>
      </c>
      <c r="M14" s="8" t="n"/>
      <c r="N14" s="8" t="n"/>
      <c r="O14" s="9" t="n"/>
      <c r="P14" s="8" t="n"/>
      <c r="Q14" s="8" t="n"/>
      <c r="R14" s="14" t="n"/>
      <c r="S14" s="8" t="n"/>
      <c r="T14" s="9" t="n"/>
    </row>
    <row r="15">
      <c r="A15" s="15" t="n"/>
      <c r="B15" s="16" t="n"/>
      <c r="C15" s="15" t="n"/>
      <c r="D15" s="15" t="n"/>
      <c r="E15" s="17" t="n"/>
      <c r="F15" s="17" t="n"/>
      <c r="G15" s="18">
        <f>IF(COUNT(E15:F15)=2,E15*F15,"")</f>
        <v/>
      </c>
      <c r="H15" s="19">
        <f>IF(G15="","",IF(G15&gt;=15,"Critical",IF(G15&gt;=10,"High",IF(G15&gt;=5,"Medium","Low"))))</f>
        <v/>
      </c>
      <c r="I15" s="16" t="n"/>
      <c r="J15" s="20" t="n"/>
      <c r="K15" s="18">
        <f>IF(OR(G15="",J15=""),"",ROUND(G15*(1-J15),1))</f>
        <v/>
      </c>
      <c r="L15" s="19">
        <f>IF(K15="","",IF(K15&gt;=15,"Critical",IF(K15&gt;=10,"High",IF(K15&gt;=5,"Medium","Low"))))</f>
        <v/>
      </c>
      <c r="M15" s="15" t="n"/>
      <c r="N15" s="15" t="n"/>
      <c r="O15" s="16" t="n"/>
      <c r="P15" s="15" t="n"/>
      <c r="Q15" s="15" t="n"/>
      <c r="R15" s="21" t="n"/>
      <c r="S15" s="15" t="n"/>
      <c r="T15" s="16" t="n"/>
    </row>
    <row r="16">
      <c r="A16" s="8" t="n"/>
      <c r="B16" s="9" t="n"/>
      <c r="C16" s="8" t="n"/>
      <c r="D16" s="8" t="n"/>
      <c r="E16" s="10" t="n"/>
      <c r="F16" s="10" t="n"/>
      <c r="G16" s="11">
        <f>IF(COUNT(E16:F16)=2,E16*F16,"")</f>
        <v/>
      </c>
      <c r="H16" s="12">
        <f>IF(G16="","",IF(G16&gt;=15,"Critical",IF(G16&gt;=10,"High",IF(G16&gt;=5,"Medium","Low"))))</f>
        <v/>
      </c>
      <c r="I16" s="9" t="n"/>
      <c r="J16" s="13" t="n"/>
      <c r="K16" s="11">
        <f>IF(OR(G16="",J16=""),"",ROUND(G16*(1-J16),1))</f>
        <v/>
      </c>
      <c r="L16" s="12">
        <f>IF(K16="","",IF(K16&gt;=15,"Critical",IF(K16&gt;=10,"High",IF(K16&gt;=5,"Medium","Low"))))</f>
        <v/>
      </c>
      <c r="M16" s="8" t="n"/>
      <c r="N16" s="8" t="n"/>
      <c r="O16" s="9" t="n"/>
      <c r="P16" s="8" t="n"/>
      <c r="Q16" s="8" t="n"/>
      <c r="R16" s="14" t="n"/>
      <c r="S16" s="8" t="n"/>
      <c r="T16" s="9" t="n"/>
    </row>
    <row r="17">
      <c r="A17" s="15" t="n"/>
      <c r="B17" s="16" t="n"/>
      <c r="C17" s="15" t="n"/>
      <c r="D17" s="15" t="n"/>
      <c r="E17" s="17" t="n"/>
      <c r="F17" s="17" t="n"/>
      <c r="G17" s="18">
        <f>IF(COUNT(E17:F17)=2,E17*F17,"")</f>
        <v/>
      </c>
      <c r="H17" s="19">
        <f>IF(G17="","",IF(G17&gt;=15,"Critical",IF(G17&gt;=10,"High",IF(G17&gt;=5,"Medium","Low"))))</f>
        <v/>
      </c>
      <c r="I17" s="16" t="n"/>
      <c r="J17" s="20" t="n"/>
      <c r="K17" s="18">
        <f>IF(OR(G17="",J17=""),"",ROUND(G17*(1-J17),1))</f>
        <v/>
      </c>
      <c r="L17" s="19">
        <f>IF(K17="","",IF(K17&gt;=15,"Critical",IF(K17&gt;=10,"High",IF(K17&gt;=5,"Medium","Low"))))</f>
        <v/>
      </c>
      <c r="M17" s="15" t="n"/>
      <c r="N17" s="15" t="n"/>
      <c r="O17" s="16" t="n"/>
      <c r="P17" s="15" t="n"/>
      <c r="Q17" s="15" t="n"/>
      <c r="R17" s="21" t="n"/>
      <c r="S17" s="15" t="n"/>
      <c r="T17" s="16" t="n"/>
    </row>
    <row r="18">
      <c r="A18" s="8" t="n"/>
      <c r="B18" s="9" t="n"/>
      <c r="C18" s="8" t="n"/>
      <c r="D18" s="8" t="n"/>
      <c r="E18" s="10" t="n"/>
      <c r="F18" s="10" t="n"/>
      <c r="G18" s="11">
        <f>IF(COUNT(E18:F18)=2,E18*F18,"")</f>
        <v/>
      </c>
      <c r="H18" s="12">
        <f>IF(G18="","",IF(G18&gt;=15,"Critical",IF(G18&gt;=10,"High",IF(G18&gt;=5,"Medium","Low"))))</f>
        <v/>
      </c>
      <c r="I18" s="9" t="n"/>
      <c r="J18" s="13" t="n"/>
      <c r="K18" s="11">
        <f>IF(OR(G18="",J18=""),"",ROUND(G18*(1-J18),1))</f>
        <v/>
      </c>
      <c r="L18" s="12">
        <f>IF(K18="","",IF(K18&gt;=15,"Critical",IF(K18&gt;=10,"High",IF(K18&gt;=5,"Medium","Low"))))</f>
        <v/>
      </c>
      <c r="M18" s="8" t="n"/>
      <c r="N18" s="8" t="n"/>
      <c r="O18" s="9" t="n"/>
      <c r="P18" s="8" t="n"/>
      <c r="Q18" s="8" t="n"/>
      <c r="R18" s="14" t="n"/>
      <c r="S18" s="8" t="n"/>
      <c r="T18" s="9" t="n"/>
    </row>
    <row r="19">
      <c r="A19" s="15" t="n"/>
      <c r="B19" s="16" t="n"/>
      <c r="C19" s="15" t="n"/>
      <c r="D19" s="15" t="n"/>
      <c r="E19" s="17" t="n"/>
      <c r="F19" s="17" t="n"/>
      <c r="G19" s="18">
        <f>IF(COUNT(E19:F19)=2,E19*F19,"")</f>
        <v/>
      </c>
      <c r="H19" s="19">
        <f>IF(G19="","",IF(G19&gt;=15,"Critical",IF(G19&gt;=10,"High",IF(G19&gt;=5,"Medium","Low"))))</f>
        <v/>
      </c>
      <c r="I19" s="16" t="n"/>
      <c r="J19" s="20" t="n"/>
      <c r="K19" s="18">
        <f>IF(OR(G19="",J19=""),"",ROUND(G19*(1-J19),1))</f>
        <v/>
      </c>
      <c r="L19" s="19">
        <f>IF(K19="","",IF(K19&gt;=15,"Critical",IF(K19&gt;=10,"High",IF(K19&gt;=5,"Medium","Low"))))</f>
        <v/>
      </c>
      <c r="M19" s="15" t="n"/>
      <c r="N19" s="15" t="n"/>
      <c r="O19" s="16" t="n"/>
      <c r="P19" s="15" t="n"/>
      <c r="Q19" s="15" t="n"/>
      <c r="R19" s="21" t="n"/>
      <c r="S19" s="15" t="n"/>
      <c r="T19" s="16" t="n"/>
    </row>
    <row r="20">
      <c r="A20" s="8" t="n"/>
      <c r="B20" s="9" t="n"/>
      <c r="C20" s="8" t="n"/>
      <c r="D20" s="8" t="n"/>
      <c r="E20" s="10" t="n"/>
      <c r="F20" s="10" t="n"/>
      <c r="G20" s="11">
        <f>IF(COUNT(E20:F20)=2,E20*F20,"")</f>
        <v/>
      </c>
      <c r="H20" s="12">
        <f>IF(G20="","",IF(G20&gt;=15,"Critical",IF(G20&gt;=10,"High",IF(G20&gt;=5,"Medium","Low"))))</f>
        <v/>
      </c>
      <c r="I20" s="9" t="n"/>
      <c r="J20" s="13" t="n"/>
      <c r="K20" s="11">
        <f>IF(OR(G20="",J20=""),"",ROUND(G20*(1-J20),1))</f>
        <v/>
      </c>
      <c r="L20" s="12">
        <f>IF(K20="","",IF(K20&gt;=15,"Critical",IF(K20&gt;=10,"High",IF(K20&gt;=5,"Medium","Low"))))</f>
        <v/>
      </c>
      <c r="M20" s="8" t="n"/>
      <c r="N20" s="8" t="n"/>
      <c r="O20" s="9" t="n"/>
      <c r="P20" s="8" t="n"/>
      <c r="Q20" s="8" t="n"/>
      <c r="R20" s="14" t="n"/>
      <c r="S20" s="8" t="n"/>
      <c r="T20" s="9" t="n"/>
    </row>
    <row r="21">
      <c r="A21" s="15" t="n"/>
      <c r="B21" s="16" t="n"/>
      <c r="C21" s="15" t="n"/>
      <c r="D21" s="15" t="n"/>
      <c r="E21" s="17" t="n"/>
      <c r="F21" s="17" t="n"/>
      <c r="G21" s="18">
        <f>IF(COUNT(E21:F21)=2,E21*F21,"")</f>
        <v/>
      </c>
      <c r="H21" s="19">
        <f>IF(G21="","",IF(G21&gt;=15,"Critical",IF(G21&gt;=10,"High",IF(G21&gt;=5,"Medium","Low"))))</f>
        <v/>
      </c>
      <c r="I21" s="16" t="n"/>
      <c r="J21" s="20" t="n"/>
      <c r="K21" s="18">
        <f>IF(OR(G21="",J21=""),"",ROUND(G21*(1-J21),1))</f>
        <v/>
      </c>
      <c r="L21" s="19">
        <f>IF(K21="","",IF(K21&gt;=15,"Critical",IF(K21&gt;=10,"High",IF(K21&gt;=5,"Medium","Low"))))</f>
        <v/>
      </c>
      <c r="M21" s="15" t="n"/>
      <c r="N21" s="15" t="n"/>
      <c r="O21" s="16" t="n"/>
      <c r="P21" s="15" t="n"/>
      <c r="Q21" s="15" t="n"/>
      <c r="R21" s="21" t="n"/>
      <c r="S21" s="15" t="n"/>
      <c r="T21" s="16" t="n"/>
    </row>
    <row r="22">
      <c r="A22" s="8" t="n"/>
      <c r="B22" s="9" t="n"/>
      <c r="C22" s="8" t="n"/>
      <c r="D22" s="8" t="n"/>
      <c r="E22" s="10" t="n"/>
      <c r="F22" s="10" t="n"/>
      <c r="G22" s="11">
        <f>IF(COUNT(E22:F22)=2,E22*F22,"")</f>
        <v/>
      </c>
      <c r="H22" s="12">
        <f>IF(G22="","",IF(G22&gt;=15,"Critical",IF(G22&gt;=10,"High",IF(G22&gt;=5,"Medium","Low"))))</f>
        <v/>
      </c>
      <c r="I22" s="9" t="n"/>
      <c r="J22" s="13" t="n"/>
      <c r="K22" s="11">
        <f>IF(OR(G22="",J22=""),"",ROUND(G22*(1-J22),1))</f>
        <v/>
      </c>
      <c r="L22" s="12">
        <f>IF(K22="","",IF(K22&gt;=15,"Critical",IF(K22&gt;=10,"High",IF(K22&gt;=5,"Medium","Low"))))</f>
        <v/>
      </c>
      <c r="M22" s="8" t="n"/>
      <c r="N22" s="8" t="n"/>
      <c r="O22" s="9" t="n"/>
      <c r="P22" s="8" t="n"/>
      <c r="Q22" s="8" t="n"/>
      <c r="R22" s="14" t="n"/>
      <c r="S22" s="8" t="n"/>
      <c r="T22" s="9" t="n"/>
    </row>
    <row r="23">
      <c r="A23" s="15" t="n"/>
      <c r="B23" s="16" t="n"/>
      <c r="C23" s="15" t="n"/>
      <c r="D23" s="15" t="n"/>
      <c r="E23" s="17" t="n"/>
      <c r="F23" s="17" t="n"/>
      <c r="G23" s="18">
        <f>IF(COUNT(E23:F23)=2,E23*F23,"")</f>
        <v/>
      </c>
      <c r="H23" s="19">
        <f>IF(G23="","",IF(G23&gt;=15,"Critical",IF(G23&gt;=10,"High",IF(G23&gt;=5,"Medium","Low"))))</f>
        <v/>
      </c>
      <c r="I23" s="16" t="n"/>
      <c r="J23" s="20" t="n"/>
      <c r="K23" s="18">
        <f>IF(OR(G23="",J23=""),"",ROUND(G23*(1-J23),1))</f>
        <v/>
      </c>
      <c r="L23" s="19">
        <f>IF(K23="","",IF(K23&gt;=15,"Critical",IF(K23&gt;=10,"High",IF(K23&gt;=5,"Medium","Low"))))</f>
        <v/>
      </c>
      <c r="M23" s="15" t="n"/>
      <c r="N23" s="15" t="n"/>
      <c r="O23" s="16" t="n"/>
      <c r="P23" s="15" t="n"/>
      <c r="Q23" s="15" t="n"/>
      <c r="R23" s="21" t="n"/>
      <c r="S23" s="15" t="n"/>
      <c r="T23" s="16" t="n"/>
    </row>
    <row r="24">
      <c r="A24" s="8" t="n"/>
      <c r="B24" s="9" t="n"/>
      <c r="C24" s="8" t="n"/>
      <c r="D24" s="8" t="n"/>
      <c r="E24" s="10" t="n"/>
      <c r="F24" s="10" t="n"/>
      <c r="G24" s="11">
        <f>IF(COUNT(E24:F24)=2,E24*F24,"")</f>
        <v/>
      </c>
      <c r="H24" s="12">
        <f>IF(G24="","",IF(G24&gt;=15,"Critical",IF(G24&gt;=10,"High",IF(G24&gt;=5,"Medium","Low"))))</f>
        <v/>
      </c>
      <c r="I24" s="9" t="n"/>
      <c r="J24" s="13" t="n"/>
      <c r="K24" s="11">
        <f>IF(OR(G24="",J24=""),"",ROUND(G24*(1-J24),1))</f>
        <v/>
      </c>
      <c r="L24" s="12">
        <f>IF(K24="","",IF(K24&gt;=15,"Critical",IF(K24&gt;=10,"High",IF(K24&gt;=5,"Medium","Low"))))</f>
        <v/>
      </c>
      <c r="M24" s="8" t="n"/>
      <c r="N24" s="8" t="n"/>
      <c r="O24" s="9" t="n"/>
      <c r="P24" s="8" t="n"/>
      <c r="Q24" s="8" t="n"/>
      <c r="R24" s="14" t="n"/>
      <c r="S24" s="8" t="n"/>
      <c r="T24" s="9" t="n"/>
    </row>
    <row r="25">
      <c r="A25" s="15" t="n"/>
      <c r="B25" s="16" t="n"/>
      <c r="C25" s="15" t="n"/>
      <c r="D25" s="15" t="n"/>
      <c r="E25" s="17" t="n"/>
      <c r="F25" s="17" t="n"/>
      <c r="G25" s="18">
        <f>IF(COUNT(E25:F25)=2,E25*F25,"")</f>
        <v/>
      </c>
      <c r="H25" s="19">
        <f>IF(G25="","",IF(G25&gt;=15,"Critical",IF(G25&gt;=10,"High",IF(G25&gt;=5,"Medium","Low"))))</f>
        <v/>
      </c>
      <c r="I25" s="16" t="n"/>
      <c r="J25" s="20" t="n"/>
      <c r="K25" s="18">
        <f>IF(OR(G25="",J25=""),"",ROUND(G25*(1-J25),1))</f>
        <v/>
      </c>
      <c r="L25" s="19">
        <f>IF(K25="","",IF(K25&gt;=15,"Critical",IF(K25&gt;=10,"High",IF(K25&gt;=5,"Medium","Low"))))</f>
        <v/>
      </c>
      <c r="M25" s="15" t="n"/>
      <c r="N25" s="15" t="n"/>
      <c r="O25" s="16" t="n"/>
      <c r="P25" s="15" t="n"/>
      <c r="Q25" s="15" t="n"/>
      <c r="R25" s="21" t="n"/>
      <c r="S25" s="15" t="n"/>
      <c r="T25" s="16" t="n"/>
    </row>
    <row r="26">
      <c r="A26" s="8" t="n"/>
      <c r="B26" s="9" t="n"/>
      <c r="C26" s="8" t="n"/>
      <c r="D26" s="8" t="n"/>
      <c r="E26" s="10" t="n"/>
      <c r="F26" s="10" t="n"/>
      <c r="G26" s="11">
        <f>IF(COUNT(E26:F26)=2,E26*F26,"")</f>
        <v/>
      </c>
      <c r="H26" s="12">
        <f>IF(G26="","",IF(G26&gt;=15,"Critical",IF(G26&gt;=10,"High",IF(G26&gt;=5,"Medium","Low"))))</f>
        <v/>
      </c>
      <c r="I26" s="9" t="n"/>
      <c r="J26" s="13" t="n"/>
      <c r="K26" s="11">
        <f>IF(OR(G26="",J26=""),"",ROUND(G26*(1-J26),1))</f>
        <v/>
      </c>
      <c r="L26" s="12">
        <f>IF(K26="","",IF(K26&gt;=15,"Critical",IF(K26&gt;=10,"High",IF(K26&gt;=5,"Medium","Low"))))</f>
        <v/>
      </c>
      <c r="M26" s="8" t="n"/>
      <c r="N26" s="8" t="n"/>
      <c r="O26" s="9" t="n"/>
      <c r="P26" s="8" t="n"/>
      <c r="Q26" s="8" t="n"/>
      <c r="R26" s="14" t="n"/>
      <c r="S26" s="8" t="n"/>
      <c r="T26" s="9" t="n"/>
    </row>
  </sheetData>
  <autoFilter ref="A1:T26"/>
  <conditionalFormatting sqref="H2:H2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L2:L26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5">
    <dataValidation sqref="E2:E26" showDropDown="0" showInputMessage="1" showErrorMessage="1" allowBlank="1" errorTitle="Invalid value" error="Pick a value from the list." promptTitle="Guidance" prompt="1 Rare · 5 Almost certain" type="list">
      <formula1>"1,2,3,4,5"</formula1>
    </dataValidation>
    <dataValidation sqref="F2:F26" showDropDown="0" showInputMessage="1" showErrorMessage="1" allowBlank="1" errorTitle="Invalid value" error="Pick a value from the list." promptTitle="Guidance" prompt="1 Negligible · 5 Severe" type="list">
      <formula1>"1,2,3,4,5"</formula1>
    </dataValidation>
    <dataValidation sqref="N2:N26" showDropDown="0" showInputMessage="0" showErrorMessage="1" allowBlank="1" errorTitle="Invalid value" error="Pick a value from the list." type="list">
      <formula1>"Accept,Mitigate,Transfer,Avoid"</formula1>
    </dataValidation>
    <dataValidation sqref="Q2:Q26" showDropDown="0" showInputMessage="0" showErrorMessage="1" allowBlank="1" errorTitle="Invalid value" error="Pick a value from the list." type="list">
      <formula1>"Open,In Progress,Monitoring,Closed"</formula1>
    </dataValidation>
    <dataValidation sqref="T7:T26" showDropDown="0" showInputMessage="0" showErrorMessage="1" allowBlank="1" errorTitle="Invalid value" error="Pick a value from the list." type="list">
      <formula1>"B-10,B-13,E-21"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2026-09-21T05:37:53Z</dcterms:created>
  <dcterms:modified xmlns:dcterms="http://purl.org/dc/terms/" xmlns:xsi="http://www.w3.org/2001/XMLSchema-instance" xsi:type="dcterms:W3CDTF">2026-09-21T05:37:53Z</dcterms:modified>
</cp:coreProperties>
</file>