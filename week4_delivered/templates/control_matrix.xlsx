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'Control Matrix'!$A$1:$L$17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14171F"/>
      <sz val="9.5"/>
    </font>
    <font>
      <b val="1"/>
      <color rgb="0014508C"/>
      <sz val="14"/>
    </font>
    <font>
      <i val="1"/>
      <color rgb="004A5163"/>
      <sz val="9.5"/>
    </font>
    <font>
      <b val="1"/>
      <color rgb="0014171F"/>
      <sz val="9.5"/>
    </font>
  </fonts>
  <fills count="4">
    <fill>
      <patternFill/>
    </fill>
    <fill>
      <patternFill patternType="gray125"/>
    </fill>
    <fill>
      <patternFill patternType="solid">
        <fgColor rgb="0014508C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C9D0DC"/>
      </left>
      <right style="thin">
        <color rgb="00C9D0DC"/>
      </right>
      <top style="thin">
        <color rgb="00C9D0DC"/>
      </top>
      <bottom style="thin">
        <color rgb="00C9D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D4EDDA"/>
        </patternFill>
      </fill>
    </dxf>
    <dxf>
      <fill>
        <patternFill patternType="solid">
          <fgColor rgb="00FCF0C2"/>
        </patternFill>
      </fill>
    </dxf>
    <dxf>
      <fill>
        <patternFill patternType="solid">
          <fgColor rgb="00F4C7C3"/>
        </patternFill>
      </fill>
    </dxf>
    <dxf>
      <fill>
        <patternFill patternType="solid">
          <fgColor rgb="00E4E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2" customWidth="1" min="2" max="2"/>
    <col width="13" customWidth="1" min="3" max="3"/>
    <col width="14" customWidth="1" min="4" max="4"/>
    <col width="16" customWidth="1" min="5" max="5"/>
    <col width="11" customWidth="1" min="6" max="6"/>
    <col width="34" customWidth="1" min="7" max="7"/>
    <col width="16" customWidth="1" min="8" max="8"/>
    <col width="14" customWidth="1" min="9" max="9"/>
    <col width="13" customWidth="1" min="10" max="10"/>
    <col width="19" customWidth="1" min="11" max="11"/>
    <col width="24" customWidth="1" min="12" max="12"/>
  </cols>
  <sheetData>
    <row r="1" ht="34" customHeight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CSF Function</t>
        </is>
      </c>
      <c r="D1" s="1" t="inlineStr">
        <is>
          <t>NIST CSF 2.0</t>
        </is>
      </c>
      <c r="E1" s="1" t="inlineStr">
        <is>
          <t>ISO 27001:2022</t>
        </is>
      </c>
      <c r="F1" s="1" t="inlineStr">
        <is>
          <t>SOC 2 TSC</t>
        </is>
      </c>
      <c r="G1" s="1" t="inlineStr">
        <is>
          <t>OSFI Guideline</t>
        </is>
      </c>
      <c r="H1" s="1" t="inlineStr">
        <is>
          <t>Control Owner</t>
        </is>
      </c>
      <c r="I1" s="1" t="inlineStr">
        <is>
          <t>Test Frequency</t>
        </is>
      </c>
      <c r="J1" s="1" t="inlineStr">
        <is>
          <t>Last Tested</t>
        </is>
      </c>
      <c r="K1" s="1" t="inlineStr">
        <is>
          <t>Test Result</t>
        </is>
      </c>
      <c r="L1" s="1" t="inlineStr">
        <is>
          <t>Evidence Link</t>
        </is>
      </c>
    </row>
    <row r="2">
      <c r="A2" s="2" t="inlineStr">
        <is>
          <t>C-001</t>
        </is>
      </c>
      <c r="B2" s="3" t="inlineStr">
        <is>
          <t>Board-approved cybersecurity policy reviewed annually.</t>
        </is>
      </c>
      <c r="C2" s="2" t="inlineStr">
        <is>
          <t>Govern</t>
        </is>
      </c>
      <c r="D2" s="2" t="inlineStr">
        <is>
          <t>GV.PO-01</t>
        </is>
      </c>
      <c r="E2" s="2" t="inlineStr">
        <is>
          <t>A.5.1</t>
        </is>
      </c>
      <c r="F2" s="2" t="inlineStr">
        <is>
          <t>CC1.1</t>
        </is>
      </c>
      <c r="G2" s="3" t="inlineStr">
        <is>
          <t>B-13 Governance and Risk Management</t>
        </is>
      </c>
      <c r="H2" s="2" t="inlineStr"/>
      <c r="I2" s="2" t="inlineStr">
        <is>
          <t>Annual</t>
        </is>
      </c>
      <c r="J2" s="2" t="inlineStr"/>
      <c r="K2" s="2" t="inlineStr">
        <is>
          <t>Not Tested</t>
        </is>
      </c>
      <c r="L2" s="2" t="inlineStr"/>
    </row>
    <row r="3">
      <c r="A3" s="4" t="inlineStr">
        <is>
          <t>C-002</t>
        </is>
      </c>
      <c r="B3" s="5" t="inlineStr">
        <is>
          <t>Documented cyber risk appetite statement approved by executive committee.</t>
        </is>
      </c>
      <c r="C3" s="4" t="inlineStr">
        <is>
          <t>Govern</t>
        </is>
      </c>
      <c r="D3" s="4" t="inlineStr">
        <is>
          <t>GV.RM-01</t>
        </is>
      </c>
      <c r="E3" s="4" t="inlineStr">
        <is>
          <t>Clause 6.1</t>
        </is>
      </c>
      <c r="F3" s="4" t="inlineStr">
        <is>
          <t>CC3.1</t>
        </is>
      </c>
      <c r="G3" s="5" t="inlineStr">
        <is>
          <t>B-13 Governance and Risk Management</t>
        </is>
      </c>
      <c r="H3" s="4" t="inlineStr"/>
      <c r="I3" s="4" t="inlineStr">
        <is>
          <t>Annual</t>
        </is>
      </c>
      <c r="J3" s="4" t="inlineStr"/>
      <c r="K3" s="4" t="inlineStr">
        <is>
          <t>Not Tested</t>
        </is>
      </c>
      <c r="L3" s="4" t="inlineStr"/>
    </row>
    <row r="4">
      <c r="A4" s="2" t="inlineStr">
        <is>
          <t>C-003</t>
        </is>
      </c>
      <c r="B4" s="3" t="inlineStr">
        <is>
          <t>Third-party risk programme with documented tiering methodology.</t>
        </is>
      </c>
      <c r="C4" s="2" t="inlineStr">
        <is>
          <t>Govern</t>
        </is>
      </c>
      <c r="D4" s="2" t="inlineStr">
        <is>
          <t>GV.SC-01</t>
        </is>
      </c>
      <c r="E4" s="2" t="inlineStr">
        <is>
          <t>A.5.19</t>
        </is>
      </c>
      <c r="F4" s="2" t="inlineStr">
        <is>
          <t>CC9.2</t>
        </is>
      </c>
      <c r="G4" s="3" t="inlineStr">
        <is>
          <t>B-10 Third-Party Risk Management</t>
        </is>
      </c>
      <c r="H4" s="2" t="inlineStr"/>
      <c r="I4" s="2" t="inlineStr">
        <is>
          <t>Annual</t>
        </is>
      </c>
      <c r="J4" s="2" t="inlineStr"/>
      <c r="K4" s="2" t="inlineStr">
        <is>
          <t>Not Tested</t>
        </is>
      </c>
      <c r="L4" s="2" t="inlineStr"/>
    </row>
    <row r="5">
      <c r="A5" s="4" t="inlineStr">
        <is>
          <t>C-004</t>
        </is>
      </c>
      <c r="B5" s="5" t="inlineStr">
        <is>
          <t>Automated asset discovery feeding a maintained CMDB.</t>
        </is>
      </c>
      <c r="C5" s="4" t="inlineStr">
        <is>
          <t>Identify</t>
        </is>
      </c>
      <c r="D5" s="4" t="inlineStr">
        <is>
          <t>ID.AM-01</t>
        </is>
      </c>
      <c r="E5" s="4" t="inlineStr">
        <is>
          <t>A.5.9</t>
        </is>
      </c>
      <c r="F5" s="4" t="inlineStr">
        <is>
          <t>CC3.2</t>
        </is>
      </c>
      <c r="G5" s="5" t="inlineStr">
        <is>
          <t>B-13 Technology Operations and Resilience</t>
        </is>
      </c>
      <c r="H5" s="4" t="inlineStr"/>
      <c r="I5" s="4" t="inlineStr">
        <is>
          <t>Continuous</t>
        </is>
      </c>
      <c r="J5" s="4" t="inlineStr"/>
      <c r="K5" s="4" t="inlineStr">
        <is>
          <t>Not Tested</t>
        </is>
      </c>
      <c r="L5" s="4" t="inlineStr"/>
    </row>
    <row r="6">
      <c r="A6" s="2" t="inlineStr">
        <is>
          <t>C-005</t>
        </is>
      </c>
      <c r="B6" s="3" t="inlineStr">
        <is>
          <t>Quarterly authenticated vulnerability scans with tracked remediation SLAs.</t>
        </is>
      </c>
      <c r="C6" s="2" t="inlineStr">
        <is>
          <t>Identify</t>
        </is>
      </c>
      <c r="D6" s="2" t="inlineStr">
        <is>
          <t>ID.RA-01</t>
        </is>
      </c>
      <c r="E6" s="2" t="inlineStr">
        <is>
          <t>A.8.8</t>
        </is>
      </c>
      <c r="F6" s="2" t="inlineStr">
        <is>
          <t>CC7.1</t>
        </is>
      </c>
      <c r="G6" s="3" t="inlineStr">
        <is>
          <t>B-13 Cyber Security</t>
        </is>
      </c>
      <c r="H6" s="2" t="inlineStr"/>
      <c r="I6" s="2" t="inlineStr">
        <is>
          <t>Quarterly</t>
        </is>
      </c>
      <c r="J6" s="2" t="inlineStr"/>
      <c r="K6" s="2" t="inlineStr">
        <is>
          <t>Not Tested</t>
        </is>
      </c>
      <c r="L6" s="2" t="inlineStr"/>
    </row>
    <row r="7">
      <c r="A7" s="4" t="inlineStr">
        <is>
          <t>C-006</t>
        </is>
      </c>
      <c r="B7" s="5" t="inlineStr">
        <is>
          <t>Post-incident review completed within 14 days; plans updated accordingly.</t>
        </is>
      </c>
      <c r="C7" s="4" t="inlineStr">
        <is>
          <t>Identify</t>
        </is>
      </c>
      <c r="D7" s="4" t="inlineStr">
        <is>
          <t>ID.IM-04</t>
        </is>
      </c>
      <c r="E7" s="4" t="inlineStr">
        <is>
          <t>A.5.27</t>
        </is>
      </c>
      <c r="F7" s="4" t="inlineStr">
        <is>
          <t>CC4.2</t>
        </is>
      </c>
      <c r="G7" s="5" t="inlineStr">
        <is>
          <t>E-21 Operational Resilience</t>
        </is>
      </c>
      <c r="H7" s="4" t="inlineStr"/>
      <c r="I7" s="4" t="inlineStr">
        <is>
          <t>Per incident</t>
        </is>
      </c>
      <c r="J7" s="4" t="inlineStr"/>
      <c r="K7" s="4" t="inlineStr">
        <is>
          <t>Not Tested</t>
        </is>
      </c>
      <c r="L7" s="4" t="inlineStr"/>
    </row>
    <row r="8">
      <c r="A8" s="2" t="inlineStr">
        <is>
          <t>C-007</t>
        </is>
      </c>
      <c r="B8" s="3" t="inlineStr">
        <is>
          <t>Centralised identity management with quarterly access recertification.</t>
        </is>
      </c>
      <c r="C8" s="2" t="inlineStr">
        <is>
          <t>Protect</t>
        </is>
      </c>
      <c r="D8" s="2" t="inlineStr">
        <is>
          <t>PR.AA-01</t>
        </is>
      </c>
      <c r="E8" s="2" t="inlineStr">
        <is>
          <t>A.5.15</t>
        </is>
      </c>
      <c r="F8" s="2" t="inlineStr">
        <is>
          <t>CC6.1</t>
        </is>
      </c>
      <c r="G8" s="3" t="inlineStr">
        <is>
          <t>B-13 Cyber Security</t>
        </is>
      </c>
      <c r="H8" s="2" t="inlineStr"/>
      <c r="I8" s="2" t="inlineStr">
        <is>
          <t>Quarterly</t>
        </is>
      </c>
      <c r="J8" s="2" t="inlineStr"/>
      <c r="K8" s="2" t="inlineStr">
        <is>
          <t>Not Tested</t>
        </is>
      </c>
      <c r="L8" s="2" t="inlineStr"/>
    </row>
    <row r="9">
      <c r="A9" s="4" t="inlineStr">
        <is>
          <t>C-008</t>
        </is>
      </c>
      <c r="B9" s="5" t="inlineStr">
        <is>
          <t>Multi-factor authentication enforced on all internet-facing and privileged access.</t>
        </is>
      </c>
      <c r="C9" s="4" t="inlineStr">
        <is>
          <t>Protect</t>
        </is>
      </c>
      <c r="D9" s="4" t="inlineStr">
        <is>
          <t>PR.AA-03</t>
        </is>
      </c>
      <c r="E9" s="4" t="inlineStr">
        <is>
          <t>A.8.5</t>
        </is>
      </c>
      <c r="F9" s="4" t="inlineStr">
        <is>
          <t>CC6.1</t>
        </is>
      </c>
      <c r="G9" s="5" t="inlineStr">
        <is>
          <t>B-13 Cyber Security</t>
        </is>
      </c>
      <c r="H9" s="4" t="inlineStr"/>
      <c r="I9" s="4" t="inlineStr">
        <is>
          <t>Continuous</t>
        </is>
      </c>
      <c r="J9" s="4" t="inlineStr"/>
      <c r="K9" s="4" t="inlineStr">
        <is>
          <t>Not Tested</t>
        </is>
      </c>
      <c r="L9" s="4" t="inlineStr"/>
    </row>
    <row r="10">
      <c r="A10" s="2" t="inlineStr">
        <is>
          <t>C-009</t>
        </is>
      </c>
      <c r="B10" s="3" t="inlineStr">
        <is>
          <t>AES-256 encryption on all datastores holding customer information.</t>
        </is>
      </c>
      <c r="C10" s="2" t="inlineStr">
        <is>
          <t>Protect</t>
        </is>
      </c>
      <c r="D10" s="2" t="inlineStr">
        <is>
          <t>PR.DS-01</t>
        </is>
      </c>
      <c r="E10" s="2" t="inlineStr">
        <is>
          <t>A.8.24</t>
        </is>
      </c>
      <c r="F10" s="2" t="inlineStr">
        <is>
          <t>CC6.7</t>
        </is>
      </c>
      <c r="G10" s="3" t="inlineStr">
        <is>
          <t>B-13 Cyber Security</t>
        </is>
      </c>
      <c r="H10" s="2" t="inlineStr"/>
      <c r="I10" s="2" t="inlineStr">
        <is>
          <t>Continuous</t>
        </is>
      </c>
      <c r="J10" s="2" t="inlineStr"/>
      <c r="K10" s="2" t="inlineStr">
        <is>
          <t>Not Tested</t>
        </is>
      </c>
      <c r="L10" s="2" t="inlineStr"/>
    </row>
    <row r="11">
      <c r="A11" s="4" t="inlineStr">
        <is>
          <t>C-010</t>
        </is>
      </c>
      <c r="B11" s="5" t="inlineStr">
        <is>
          <t>Mandatory annual security awareness training with phishing simulations.</t>
        </is>
      </c>
      <c r="C11" s="4" t="inlineStr">
        <is>
          <t>Protect</t>
        </is>
      </c>
      <c r="D11" s="4" t="inlineStr">
        <is>
          <t>PR.AT-01</t>
        </is>
      </c>
      <c r="E11" s="4" t="inlineStr">
        <is>
          <t>A.6.3</t>
        </is>
      </c>
      <c r="F11" s="4" t="inlineStr">
        <is>
          <t>CC1.4</t>
        </is>
      </c>
      <c r="G11" s="5" t="inlineStr">
        <is>
          <t>B-13 Governance and Risk Management</t>
        </is>
      </c>
      <c r="H11" s="4" t="inlineStr"/>
      <c r="I11" s="4" t="inlineStr">
        <is>
          <t>Annual</t>
        </is>
      </c>
      <c r="J11" s="4" t="inlineStr"/>
      <c r="K11" s="4" t="inlineStr">
        <is>
          <t>Not Tested</t>
        </is>
      </c>
      <c r="L11" s="4" t="inlineStr"/>
    </row>
    <row r="12">
      <c r="A12" s="2" t="inlineStr">
        <is>
          <t>C-011</t>
        </is>
      </c>
      <c r="B12" s="3" t="inlineStr">
        <is>
          <t>SIEM ingesting network and authentication logs with 24/7 alerting.</t>
        </is>
      </c>
      <c r="C12" s="2" t="inlineStr">
        <is>
          <t>Detect</t>
        </is>
      </c>
      <c r="D12" s="2" t="inlineStr">
        <is>
          <t>DE.CM-01</t>
        </is>
      </c>
      <c r="E12" s="2" t="inlineStr">
        <is>
          <t>A.8.16</t>
        </is>
      </c>
      <c r="F12" s="2" t="inlineStr">
        <is>
          <t>CC7.2</t>
        </is>
      </c>
      <c r="G12" s="3" t="inlineStr">
        <is>
          <t>B-13 Cyber Security</t>
        </is>
      </c>
      <c r="H12" s="2" t="inlineStr"/>
      <c r="I12" s="2" t="inlineStr">
        <is>
          <t>Continuous</t>
        </is>
      </c>
      <c r="J12" s="2" t="inlineStr"/>
      <c r="K12" s="2" t="inlineStr">
        <is>
          <t>Not Tested</t>
        </is>
      </c>
      <c r="L12" s="2" t="inlineStr"/>
    </row>
    <row r="13">
      <c r="A13" s="4" t="inlineStr">
        <is>
          <t>C-012</t>
        </is>
      </c>
      <c r="B13" s="5" t="inlineStr">
        <is>
          <t>Security events triaged against documented severity criteria within 4 hours.</t>
        </is>
      </c>
      <c r="C13" s="4" t="inlineStr">
        <is>
          <t>Detect</t>
        </is>
      </c>
      <c r="D13" s="4" t="inlineStr">
        <is>
          <t>DE.AE-02</t>
        </is>
      </c>
      <c r="E13" s="4" t="inlineStr">
        <is>
          <t>A.8.15</t>
        </is>
      </c>
      <c r="F13" s="4" t="inlineStr">
        <is>
          <t>CC7.3</t>
        </is>
      </c>
      <c r="G13" s="5" t="inlineStr">
        <is>
          <t>B-13 Cyber Security</t>
        </is>
      </c>
      <c r="H13" s="4" t="inlineStr"/>
      <c r="I13" s="4" t="inlineStr">
        <is>
          <t>Continuous</t>
        </is>
      </c>
      <c r="J13" s="4" t="inlineStr"/>
      <c r="K13" s="4" t="inlineStr">
        <is>
          <t>Not Tested</t>
        </is>
      </c>
      <c r="L13" s="4" t="inlineStr"/>
    </row>
    <row r="14">
      <c r="A14" s="2" t="inlineStr">
        <is>
          <t>C-013</t>
        </is>
      </c>
      <c r="B14" s="3" t="inlineStr">
        <is>
          <t>Incident response plan tested annually via tabletop exercise.</t>
        </is>
      </c>
      <c r="C14" s="2" t="inlineStr">
        <is>
          <t>Respond</t>
        </is>
      </c>
      <c r="D14" s="2" t="inlineStr">
        <is>
          <t>RS.MA-01</t>
        </is>
      </c>
      <c r="E14" s="2" t="inlineStr">
        <is>
          <t>A.5.26</t>
        </is>
      </c>
      <c r="F14" s="2" t="inlineStr">
        <is>
          <t>CC7.4</t>
        </is>
      </c>
      <c r="G14" s="3" t="inlineStr">
        <is>
          <t>E-21 Operational Resilience; B-13 Cyber Security</t>
        </is>
      </c>
      <c r="H14" s="2" t="inlineStr"/>
      <c r="I14" s="2" t="inlineStr">
        <is>
          <t>Annual</t>
        </is>
      </c>
      <c r="J14" s="2" t="inlineStr"/>
      <c r="K14" s="2" t="inlineStr">
        <is>
          <t>Not Tested</t>
        </is>
      </c>
      <c r="L14" s="2" t="inlineStr"/>
    </row>
    <row r="15">
      <c r="A15" s="4" t="inlineStr">
        <is>
          <t>C-014</t>
        </is>
      </c>
      <c r="B15" s="5" t="inlineStr">
        <is>
          <t>Reportable incidents notified to OSFI within 24 hours of determination.</t>
        </is>
      </c>
      <c r="C15" s="4" t="inlineStr">
        <is>
          <t>Respond</t>
        </is>
      </c>
      <c r="D15" s="4" t="inlineStr">
        <is>
          <t>RS.CO-02</t>
        </is>
      </c>
      <c r="E15" s="4" t="inlineStr">
        <is>
          <t>A.6.8</t>
        </is>
      </c>
      <c r="F15" s="4" t="inlineStr">
        <is>
          <t>CC2.2</t>
        </is>
      </c>
      <c r="G15" s="5" t="inlineStr">
        <is>
          <t>OSFI Technology and Cyber Security Incident Reporting Advisory</t>
        </is>
      </c>
      <c r="H15" s="4" t="inlineStr"/>
      <c r="I15" s="4" t="inlineStr">
        <is>
          <t>Per incident</t>
        </is>
      </c>
      <c r="J15" s="4" t="inlineStr"/>
      <c r="K15" s="4" t="inlineStr">
        <is>
          <t>Not Tested</t>
        </is>
      </c>
      <c r="L15" s="4" t="inlineStr"/>
    </row>
    <row r="16">
      <c r="A16" s="2" t="inlineStr">
        <is>
          <t>C-015</t>
        </is>
      </c>
      <c r="B16" s="3" t="inlineStr">
        <is>
          <t>Recovery procedures executed against defined tolerances for disruption.</t>
        </is>
      </c>
      <c r="C16" s="2" t="inlineStr">
        <is>
          <t>Recover</t>
        </is>
      </c>
      <c r="D16" s="2" t="inlineStr">
        <is>
          <t>RC.RP-01</t>
        </is>
      </c>
      <c r="E16" s="2" t="inlineStr">
        <is>
          <t>A.5.30</t>
        </is>
      </c>
      <c r="F16" s="2" t="inlineStr">
        <is>
          <t>A1.2</t>
        </is>
      </c>
      <c r="G16" s="3" t="inlineStr">
        <is>
          <t>E-21 Operational Resilience</t>
        </is>
      </c>
      <c r="H16" s="2" t="inlineStr"/>
      <c r="I16" s="2" t="inlineStr">
        <is>
          <t>Per incident</t>
        </is>
      </c>
      <c r="J16" s="2" t="inlineStr"/>
      <c r="K16" s="2" t="inlineStr">
        <is>
          <t>Not Tested</t>
        </is>
      </c>
      <c r="L16" s="2" t="inlineStr"/>
    </row>
    <row r="17">
      <c r="A17" s="4" t="inlineStr">
        <is>
          <t>C-016</t>
        </is>
      </c>
      <c r="B17" s="5" t="inlineStr">
        <is>
          <t>Quarterly restore testing with documented integrity verification.</t>
        </is>
      </c>
      <c r="C17" s="4" t="inlineStr">
        <is>
          <t>Recover</t>
        </is>
      </c>
      <c r="D17" s="4" t="inlineStr">
        <is>
          <t>RC.RP-05</t>
        </is>
      </c>
      <c r="E17" s="4" t="inlineStr">
        <is>
          <t>A.8.13</t>
        </is>
      </c>
      <c r="F17" s="4" t="inlineStr">
        <is>
          <t>A1.2</t>
        </is>
      </c>
      <c r="G17" s="5" t="inlineStr">
        <is>
          <t>E-21 Operational Resilience</t>
        </is>
      </c>
      <c r="H17" s="4" t="inlineStr"/>
      <c r="I17" s="4" t="inlineStr">
        <is>
          <t>Quarterly</t>
        </is>
      </c>
      <c r="J17" s="4" t="inlineStr"/>
      <c r="K17" s="4" t="inlineStr">
        <is>
          <t>Not Tested</t>
        </is>
      </c>
      <c r="L17" s="4" t="inlineStr"/>
    </row>
  </sheetData>
  <autoFilter ref="A1:L17"/>
  <conditionalFormatting sqref="K2:K17">
    <cfRule type="cellIs" priority="1" operator="equal" dxfId="0">
      <formula>"Effective"</formula>
    </cfRule>
    <cfRule type="cellIs" priority="2" operator="equal" dxfId="1">
      <formula>"Partially Effective"</formula>
    </cfRule>
    <cfRule type="cellIs" priority="3" operator="equal" dxfId="2">
      <formula>"Ineffective"</formula>
    </cfRule>
    <cfRule type="cellIs" priority="4" operator="equal" dxfId="3">
      <formula>"Not Tested"</formula>
    </cfRule>
  </conditionalFormatting>
  <dataValidations count="2">
    <dataValidation sqref="K2:K17" showDropDown="0" showInputMessage="0" showErrorMessage="1" allowBlank="1" errorTitle="Invalid value" error="Pick a value from the list." type="list">
      <formula1>"Effective,Partially Effective,Ineffective,Not Tested"</formula1>
    </dataValidation>
    <dataValidation sqref="I2:I17" showDropDown="0" showInputMessage="0" showErrorMessage="1" allowBlank="1" errorTitle="Invalid value" error="Pick a value from the list." type="list">
      <formula1>"Continuous,Monthly,Quarterly,Annual,Per incident"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Control Coverage Summary</t>
        </is>
      </c>
    </row>
    <row r="2">
      <c r="A2" s="7" t="inlineStr">
        <is>
          <t>Counts update automatically from the Control Matrix sheet.</t>
        </is>
      </c>
    </row>
    <row r="4" ht="30" customHeight="1">
      <c r="A4" s="1" t="inlineStr">
        <is>
          <t>CSF Function</t>
        </is>
      </c>
      <c r="B4" s="1" t="inlineStr">
        <is>
          <t>Controls</t>
        </is>
      </c>
      <c r="C4" s="1" t="inlineStr">
        <is>
          <t>Effective</t>
        </is>
      </c>
      <c r="D4" s="1" t="inlineStr">
        <is>
          <t>Partially Effective</t>
        </is>
      </c>
      <c r="E4" s="1" t="inlineStr">
        <is>
          <t>Ineffective</t>
        </is>
      </c>
      <c r="F4" s="1" t="inlineStr">
        <is>
          <t>Not Tested</t>
        </is>
      </c>
    </row>
    <row r="5">
      <c r="A5" s="8" t="inlineStr">
        <is>
          <t>Govern</t>
        </is>
      </c>
      <c r="B5" s="9">
        <f>COUNTIF('Control Matrix'!$C$2:$C$17,$A5)</f>
        <v/>
      </c>
      <c r="C5" s="9">
        <f>COUNTIFS('Control Matrix'!$C$2:$C$17,$A5,'Control Matrix'!$K$2:$K$17,"Effective")</f>
        <v/>
      </c>
      <c r="D5" s="9">
        <f>COUNTIFS('Control Matrix'!$C$2:$C$17,$A5,'Control Matrix'!$K$2:$K$17,"Partially Effective")</f>
        <v/>
      </c>
      <c r="E5" s="9">
        <f>COUNTIFS('Control Matrix'!$C$2:$C$17,$A5,'Control Matrix'!$K$2:$K$17,"Ineffective")</f>
        <v/>
      </c>
      <c r="F5" s="9">
        <f>COUNTIFS('Control Matrix'!$C$2:$C$17,$A5,'Control Matrix'!$K$2:$K$17,"Not Tested")</f>
        <v/>
      </c>
    </row>
    <row r="6">
      <c r="A6" s="10" t="inlineStr">
        <is>
          <t>Identify</t>
        </is>
      </c>
      <c r="B6" s="11">
        <f>COUNTIF('Control Matrix'!$C$2:$C$17,$A6)</f>
        <v/>
      </c>
      <c r="C6" s="11">
        <f>COUNTIFS('Control Matrix'!$C$2:$C$17,$A6,'Control Matrix'!$K$2:$K$17,"Effective")</f>
        <v/>
      </c>
      <c r="D6" s="11">
        <f>COUNTIFS('Control Matrix'!$C$2:$C$17,$A6,'Control Matrix'!$K$2:$K$17,"Partially Effective")</f>
        <v/>
      </c>
      <c r="E6" s="11">
        <f>COUNTIFS('Control Matrix'!$C$2:$C$17,$A6,'Control Matrix'!$K$2:$K$17,"Ineffective")</f>
        <v/>
      </c>
      <c r="F6" s="11">
        <f>COUNTIFS('Control Matrix'!$C$2:$C$17,$A6,'Control Matrix'!$K$2:$K$17,"Not Tested")</f>
        <v/>
      </c>
    </row>
    <row r="7">
      <c r="A7" s="8" t="inlineStr">
        <is>
          <t>Protect</t>
        </is>
      </c>
      <c r="B7" s="9">
        <f>COUNTIF('Control Matrix'!$C$2:$C$17,$A7)</f>
        <v/>
      </c>
      <c r="C7" s="9">
        <f>COUNTIFS('Control Matrix'!$C$2:$C$17,$A7,'Control Matrix'!$K$2:$K$17,"Effective")</f>
        <v/>
      </c>
      <c r="D7" s="9">
        <f>COUNTIFS('Control Matrix'!$C$2:$C$17,$A7,'Control Matrix'!$K$2:$K$17,"Partially Effective")</f>
        <v/>
      </c>
      <c r="E7" s="9">
        <f>COUNTIFS('Control Matrix'!$C$2:$C$17,$A7,'Control Matrix'!$K$2:$K$17,"Ineffective")</f>
        <v/>
      </c>
      <c r="F7" s="9">
        <f>COUNTIFS('Control Matrix'!$C$2:$C$17,$A7,'Control Matrix'!$K$2:$K$17,"Not Tested")</f>
        <v/>
      </c>
    </row>
    <row r="8">
      <c r="A8" s="10" t="inlineStr">
        <is>
          <t>Detect</t>
        </is>
      </c>
      <c r="B8" s="11">
        <f>COUNTIF('Control Matrix'!$C$2:$C$17,$A8)</f>
        <v/>
      </c>
      <c r="C8" s="11">
        <f>COUNTIFS('Control Matrix'!$C$2:$C$17,$A8,'Control Matrix'!$K$2:$K$17,"Effective")</f>
        <v/>
      </c>
      <c r="D8" s="11">
        <f>COUNTIFS('Control Matrix'!$C$2:$C$17,$A8,'Control Matrix'!$K$2:$K$17,"Partially Effective")</f>
        <v/>
      </c>
      <c r="E8" s="11">
        <f>COUNTIFS('Control Matrix'!$C$2:$C$17,$A8,'Control Matrix'!$K$2:$K$17,"Ineffective")</f>
        <v/>
      </c>
      <c r="F8" s="11">
        <f>COUNTIFS('Control Matrix'!$C$2:$C$17,$A8,'Control Matrix'!$K$2:$K$17,"Not Tested")</f>
        <v/>
      </c>
    </row>
    <row r="9">
      <c r="A9" s="8" t="inlineStr">
        <is>
          <t>Respond</t>
        </is>
      </c>
      <c r="B9" s="9">
        <f>COUNTIF('Control Matrix'!$C$2:$C$17,$A9)</f>
        <v/>
      </c>
      <c r="C9" s="9">
        <f>COUNTIFS('Control Matrix'!$C$2:$C$17,$A9,'Control Matrix'!$K$2:$K$17,"Effective")</f>
        <v/>
      </c>
      <c r="D9" s="9">
        <f>COUNTIFS('Control Matrix'!$C$2:$C$17,$A9,'Control Matrix'!$K$2:$K$17,"Partially Effective")</f>
        <v/>
      </c>
      <c r="E9" s="9">
        <f>COUNTIFS('Control Matrix'!$C$2:$C$17,$A9,'Control Matrix'!$K$2:$K$17,"Ineffective")</f>
        <v/>
      </c>
      <c r="F9" s="9">
        <f>COUNTIFS('Control Matrix'!$C$2:$C$17,$A9,'Control Matrix'!$K$2:$K$17,"Not Tested")</f>
        <v/>
      </c>
    </row>
    <row r="10">
      <c r="A10" s="10" t="inlineStr">
        <is>
          <t>Recover</t>
        </is>
      </c>
      <c r="B10" s="11">
        <f>COUNTIF('Control Matrix'!$C$2:$C$17,$A10)</f>
        <v/>
      </c>
      <c r="C10" s="11">
        <f>COUNTIFS('Control Matrix'!$C$2:$C$17,$A10,'Control Matrix'!$K$2:$K$17,"Effective")</f>
        <v/>
      </c>
      <c r="D10" s="11">
        <f>COUNTIFS('Control Matrix'!$C$2:$C$17,$A10,'Control Matrix'!$K$2:$K$17,"Partially Effective")</f>
        <v/>
      </c>
      <c r="E10" s="11">
        <f>COUNTIFS('Control Matrix'!$C$2:$C$17,$A10,'Control Matrix'!$K$2:$K$17,"Ineffective")</f>
        <v/>
      </c>
      <c r="F10" s="11">
        <f>COUNTIFS('Control Matrix'!$C$2:$C$17,$A10,'Control Matrix'!$K$2:$K$17,"Not Tested")</f>
        <v/>
      </c>
    </row>
    <row r="11">
      <c r="A11" s="8" t="inlineStr">
        <is>
          <t>Total</t>
        </is>
      </c>
      <c r="B11" s="9">
        <f>SUM(B5:B10)</f>
        <v/>
      </c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2026-09-21T05:37:53Z</dcterms:created>
  <dcterms:modified xmlns:dcterms="http://purl.org/dc/terms/" xmlns:xsi="http://www.w3.org/2001/XMLSchema-instance" xsi:type="dcterms:W3CDTF">2026-09-21T05:37:53Z</dcterms:modified>
</cp:coreProperties>
</file>